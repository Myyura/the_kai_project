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517f5e8e4b4ff8" /></Relationships>
</file>

<file path=xl/workbook.xml><?xml version="1.0" encoding="utf-8"?>
<x:workbook xmlns:x="http://schemas.openxmlformats.org/spreadsheetml/2006/main">
  <x:sheets>
    <x:sheet xmlns:r="http://schemas.openxmlformats.org/officeDocument/2006/relationships" name="说明" sheetId="1" r:id="Rf34486f8c4a84fc7"/>
    <x:sheet xmlns:r="http://schemas.openxmlformats.org/officeDocument/2006/relationships" name="项目专攻清单" sheetId="2" r:id="Rb9622640933e4a55"/>
    <x:sheet xmlns:r="http://schemas.openxmlformats.org/officeDocument/2006/relationships" name="历年报录数据" sheetId="3" r:id="R46a88fb75903412a"/>
    <x:sheet xmlns:r="http://schemas.openxmlformats.org/officeDocument/2006/relationships" name="覆盖汇总" sheetId="4" r:id="Rb876e0d3b58940b4"/>
    <x:sheet xmlns:r="http://schemas.openxmlformats.org/officeDocument/2006/relationships" name="数据源" sheetId="5" r:id="R7c94d1c27bee4489"/>
    <x:sheet xmlns:r="http://schemas.openxmlformats.org/officeDocument/2006/relationships" name="民间补充" sheetId="6" r:id="R246e2b6fd674404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quot;×&quot;"/>
    <x:numFmt numFmtId="202" formatCode="0.0%"/>
  </x:numFmts>
  <x:fonts count="9">
    <x:font>
      <x:sz val="11"/>
      <x:name val="Carlito"/>
    </x:font>
    <x:font>
      <x:sz val="10"/>
      <x:color rgb="FF243443"/>
      <x:name val="Aptos"/>
    </x:font>
    <x:font>
      <x:b/>
      <x:sz val="20"/>
      <x:color rgb="FFFFFFFF"/>
      <x:name val="Aptos Display"/>
    </x:font>
    <x:font>
      <x:i/>
      <x:sz val="10"/>
      <x:color rgb="FF2F6690"/>
      <x:name val="Aptos"/>
    </x:font>
    <x:font>
      <x:b/>
      <x:sz val="9"/>
      <x:color rgb="FFFFFFFF"/>
      <x:name val="Aptos"/>
    </x:font>
    <x:font>
      <x:b/>
      <x:sz val="18"/>
      <x:color rgb="FF243443"/>
      <x:name val="Aptos Display"/>
    </x:font>
    <x:font>
      <x:b/>
      <x:sz val="11"/>
      <x:color rgb="FFFFFFFF"/>
      <x:name val="Aptos"/>
    </x:font>
    <x:font>
      <x:b/>
      <x:sz val="10"/>
      <x:color rgb="FFFFFFFF"/>
      <x:name val="Aptos"/>
    </x:font>
    <x:font>
      <x:b/>
      <x:sz val="11"/>
      <x:color rgb="FF243443"/>
      <x:name val="Aptos"/>
    </x:font>
  </x:fonts>
  <x:fills count="9">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E8F5F2"/>
      </x:patternFill>
    </x:fill>
    <x:fill>
      <x:patternFill patternType="solid">
        <x:fgColor rgb="FFFFF3D9"/>
      </x:patternFill>
    </x:fill>
    <x:fill>
      <x:patternFill patternType="solid">
        <x:fgColor rgb="FFEEF1F4"/>
      </x:patternFill>
    </x:fill>
    <x:fill>
      <x:patternFill patternType="solid">
        <x:fgColor rgb="FF2F6690"/>
      </x:patternFill>
    </x:fill>
    <x:fill>
      <x:patternFill patternType="solid">
        <x:fgColor rgb="FFFFFFFF"/>
      </x:patternFill>
    </x:fill>
  </x:fills>
  <x:borders count="8">
    <x:border/>
    <x:border>
      <x:left style="thin">
        <x:color rgb="FFD7E0E8"/>
      </x:left>
      <x:right style="thin">
        <x:color rgb="FFD7E0E8"/>
      </x:right>
      <x:top style="thin">
        <x:color rgb="FFD7E0E8"/>
      </x:top>
      <x:bottom style="thin">
        <x:color rgb="FFD7E0E8"/>
      </x:bottom>
    </x:border>
    <x:border>
      <x:left style="medium">
        <x:color rgb="FF2A9D8F"/>
      </x:left>
      <x:top style="medium">
        <x:color rgb="FF2A9D8F"/>
      </x:top>
    </x:border>
    <x:border>
      <x:top style="medium">
        <x:color rgb="FF2A9D8F"/>
      </x:top>
    </x:border>
    <x:border>
      <x:right style="medium">
        <x:color rgb="FF2A9D8F"/>
      </x:right>
      <x:top style="medium">
        <x:color rgb="FF2A9D8F"/>
      </x:top>
    </x:border>
    <x:border>
      <x:left style="medium">
        <x:color rgb="FF2A9D8F"/>
      </x:left>
      <x:bottom style="medium">
        <x:color rgb="FF2A9D8F"/>
      </x:bottom>
    </x:border>
    <x:border>
      <x:bottom style="medium">
        <x:color rgb="FF2A9D8F"/>
      </x:bottom>
    </x:border>
    <x:border>
      <x:right style="medium">
        <x:color rgb="FF2A9D8F"/>
      </x:right>
      <x:bottom style="medium">
        <x:color rgb="FF2A9D8F"/>
      </x:bottom>
    </x:border>
  </x:borders>
  <x:cellStyleXfs count="1">
    <x:xf numFmtId="0" fontId="0" fillId="0" borderId="0"/>
  </x:cellStyleXfs>
  <x:cellXfs count="5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horizontal="center" vertical="center"/>
    </x:xf>
    <x:xf numFmtId="0" fontId="4" fillId="2" borderId="1" xfId="0" applyNumberFormat="1" applyFont="1" applyFill="1" applyBorder="1" applyAlignment="1">
      <x:alignment horizontal="center" vertical="center"/>
    </x:xf>
    <x:xf numFmtId="0" fontId="5" fillId="3" borderId="1"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horizontal="center" vertical="center"/>
    </x:xf>
    <x:xf numFmtId="0" fontId="5" fillId="4" borderId="1" xfId="0" applyNumberFormat="1" applyFont="1" applyFill="1" applyBorder="1" applyAlignment="1">
      <x:alignment horizontal="center" vertical="center"/>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0" xfId="0" applyNumberFormat="1" applyFont="1" applyFill="1" applyBorder="1" applyAlignment="1">
      <x:alignment horizontal="center" vertical="center"/>
    </x:xf>
    <x:xf numFmtId="0" fontId="5" fillId="5" borderId="1" xfId="0" applyNumberFormat="1" applyFont="1" applyFill="1" applyBorder="1" applyAlignment="1">
      <x:alignment horizontal="center"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5" fillId="6" borderId="0" xfId="0" applyNumberFormat="1" applyFont="1" applyFill="1" applyBorder="1" applyAlignment="1">
      <x:alignment horizontal="center" vertical="center"/>
    </x:xf>
    <x:xf numFmtId="0" fontId="5" fillId="6" borderId="1" xfId="0" applyNumberFormat="1" applyFont="1" applyFill="1" applyBorder="1" applyAlignment="1">
      <x:alignment horizontal="center" vertical="center"/>
    </x:xf>
    <x:xf numFmtId="0" fontId="1" fillId="7" borderId="0" xfId="0" applyNumberFormat="1" applyFont="1" applyFill="1" applyBorder="1" applyAlignment="1">
      <x:alignment vertical="center"/>
    </x:xf>
    <x:xf numFmtId="0" fontId="6" fillId="7"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8" borderId="0" xfId="0" applyNumberFormat="1" applyFont="1" applyFill="1" applyBorder="1" applyAlignment="1">
      <x:alignment vertical="center" wrapText="1"/>
    </x:xf>
    <x:xf numFmtId="0" fontId="1" fillId="8" borderId="1" xfId="0" applyNumberFormat="1" applyFont="1" applyFill="1" applyBorder="1" applyAlignment="1">
      <x:alignment vertical="center" wrapText="1"/>
    </x:xf>
    <x:xf numFmtId="0" fontId="7" fillId="7" borderId="0" xfId="0" applyNumberFormat="1" applyFont="1" applyFill="1" applyBorder="1" applyAlignment="1">
      <x:alignment vertical="center"/>
    </x:xf>
    <x:xf numFmtId="0" fontId="7" fillId="7" borderId="0" xfId="0" applyNumberFormat="1" applyFont="1" applyFill="1" applyBorder="1" applyAlignment="1">
      <x:alignment horizontal="center" vertical="center"/>
    </x:xf>
    <x:xf numFmtId="0" fontId="7" fillId="7" borderId="0" xfId="0" applyNumberFormat="1" applyFont="1" applyFill="1" applyBorder="1" applyAlignment="1">
      <x:alignment horizontal="center" vertical="center" wrapText="1"/>
    </x:xf>
    <x:xf numFmtId="0" fontId="7" fillId="7" borderId="1" xfId="0" applyNumberFormat="1" applyFont="1" applyFill="1" applyBorder="1" applyAlignment="1">
      <x:alignment horizontal="center" vertical="center" wrapText="1"/>
    </x:xf>
    <x:xf numFmtId="0" fontId="1"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0" fontId="8" fillId="4" borderId="0" xfId="0" applyNumberFormat="1" applyFont="1" applyFill="1" applyBorder="1" applyAlignment="1">
      <x:alignment vertical="center"/>
    </x:xf>
    <x:xf numFmtId="0" fontId="8" fillId="4" borderId="0" xfId="0" applyNumberFormat="1" applyFont="1" applyFill="1" applyBorder="1" applyAlignment="1">
      <x:alignment vertical="center" wrapText="1"/>
    </x:xf>
    <x:xf numFmtId="0" fontId="8" fillId="4" borderId="2" xfId="0" applyNumberFormat="1" applyFont="1" applyFill="1" applyBorder="1" applyAlignment="1">
      <x:alignment vertical="center" wrapText="1"/>
    </x:xf>
    <x:xf numFmtId="0" fontId="8" fillId="4" borderId="3" xfId="0" applyNumberFormat="1" applyFont="1" applyFill="1" applyBorder="1" applyAlignment="1">
      <x:alignment vertical="center"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8" fillId="4" borderId="6" xfId="0" applyNumberFormat="1" applyFont="1" applyFill="1" applyBorder="1" applyAlignment="1">
      <x:alignment vertical="center" wrapText="1"/>
    </x:xf>
    <x:xf numFmtId="0" fontId="8" fillId="4" borderId="7" xfId="0" applyNumberFormat="1" applyFont="1" applyFill="1" applyBorder="1" applyAlignment="1">
      <x:alignment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6" borderId="0" xfId="0" applyNumberFormat="1" applyFont="1" applyFill="1" applyBorder="1" applyAlignment="1">
      <x:alignment vertical="center" wrapText="1"/>
    </x:xf>
    <x:xf numFmtId="200" fontId="1" fillId="3" borderId="0" xfId="0" applyNumberFormat="1" applyFont="1" applyFill="1" applyBorder="1" applyAlignment="1">
      <x:alignment vertical="center"/>
    </x:xf>
    <x:xf numFmtId="0" fontId="1" fillId="5" borderId="0" xfId="0" applyNumberFormat="1" applyFont="1" applyFill="1" applyBorder="1" applyAlignment="1">
      <x:alignment vertical="center" wrapText="1"/>
    </x:xf>
  </x:cellXfs>
  <x:cellStyles count="1">
    <x:cellStyle name="Normal" xfId="0"/>
  </x:cellStyles>
  <x:dxfs count="5">
    <x:dxf>
      <x:font>
        <x:b/>
        <x:color rgb="FF2A9D8F"/>
      </x:font>
      <x:fill>
        <x:patternFill patternType="solid">
          <x:bgColor rgb="FFE8F5F2"/>
        </x:patternFill>
      </x:fill>
    </x:dxf>
    <x:dxf>
      <x:font>
        <x:b/>
        <x:color rgb="FF8A5A00"/>
      </x:font>
      <x:fill>
        <x:patternFill patternType="solid">
          <x:bgColor rgb="FFFFF3D9"/>
        </x:patternFill>
      </x:fill>
    </x:dxf>
    <x:dxf>
      <x:font>
        <x:color rgb="FF6B7785"/>
      </x:font>
      <x:fill>
        <x:patternFill patternType="solid">
          <x:bgColor rgb="FFEEF1F4"/>
        </x:patternFill>
      </x:fill>
    </x:dxf>
    <x:dxf>
      <x:font>
        <x:b/>
        <x:color rgb="FF8A5A00"/>
      </x:font>
      <x:fill>
        <x:patternFill patternType="solid">
          <x:bgColor rgb="FFFFF3D9"/>
        </x:patternFill>
      </x:fill>
    </x:dxf>
    <x:dxf>
      <x:font>
        <x:b/>
        <x:color rgb="FF8A5A00"/>
      </x:font>
      <x:fill>
        <x:patternFill patternType="solid">
          <x:bgColor rgb="FFFFF3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2c474a320245e2" /><Relationship Type="http://schemas.openxmlformats.org/officeDocument/2006/relationships/theme" Target="/xl/theme/theme1.xml" Id="R4b54a5e7d2a64f54" /><Relationship Type="http://schemas.openxmlformats.org/officeDocument/2006/relationships/sharedStrings" Target="/xl/sharedStrings.xml" Id="R86201d0f3bd34120" /><Relationship Type="http://schemas.openxmlformats.org/officeDocument/2006/relationships/worksheet" Target="/xl/worksheets/sheet1.xml" Id="Rf34486f8c4a84fc7" /><Relationship Type="http://schemas.openxmlformats.org/officeDocument/2006/relationships/worksheet" Target="/xl/worksheets/sheet2.xml" Id="Rb9622640933e4a55" /><Relationship Type="http://schemas.openxmlformats.org/officeDocument/2006/relationships/worksheet" Target="/xl/worksheets/sheet3.xml" Id="R46a88fb75903412a" /><Relationship Type="http://schemas.openxmlformats.org/officeDocument/2006/relationships/worksheet" Target="/xl/worksheets/sheet4.xml" Id="Rb876e0d3b58940b4" /><Relationship Type="http://schemas.openxmlformats.org/officeDocument/2006/relationships/worksheet" Target="/xl/worksheets/sheet5.xml" Id="R7c94d1c27bee4489" /><Relationship Type="http://schemas.openxmlformats.org/officeDocument/2006/relationships/worksheet" Target="/xl/worksheets/sheet6.xml" Id="R246e2b6fd6744042" /></Relationships>
</file>

<file path=xl/drawings/_rels/drawing1.xml.rels>&#65279;<?xml version="1.0" encoding="utf-8"?><Relationships xmlns="http://schemas.openxmlformats.org/package/2006/relationships"><Relationship Type="http://schemas.openxmlformats.org/officeDocument/2006/relationships/chart" Target="/xl/drawings/charts/chart1.xml" Id="Rd373192f1d874d7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项目官方数据覆盖结构</a:t>
            </a:r>
          </a:p>
        </c:rich>
      </c:tx>
      <c:overlay val="0"/>
    </c:title>
    <c:plotArea>
      <c:doughnutChart>
        <c:ser>
          <c:idx val="0"/>
          <c:order val="0"/>
          <c:tx>
            <c:v>数量</c:v>
          </c:tx>
          <c:cat>
            <c:strRef>
              <c:f>'说明'!$H$10:$H$12</c:f>
              <c:strCache>
                <c:ptCount val="0"/>
              </c:strCache>
            </c:strRef>
          </c:cat>
          <c:val>
            <c:numRef>
              <c:f>'说明'!$I$10:$I$12</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13</xdr:row>
      <xdr:rowOff>0</xdr:rowOff>
    </xdr:from>
    <xdr:to>
      <xdr:col>12</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73192f1d874d70"/>
        </a:graphicData>
      </a:graphic>
    </xdr:graphicFrame>
    <xdr:clientData/>
  </xdr:twoCellAnchor>
</xdr:wsDr>
</file>

<file path=xl/tables/table1.xml><?xml version="1.0" encoding="utf-8"?>
<x:table xmlns:x="http://schemas.openxmlformats.org/spreadsheetml/2006/main" id="1" name="ProjectScopeTable" displayName="ProjectScopeTable" ref="A4:M155" headerRowCount="1" totalsRowCount="0" totalsRowShown="0">
  <x:autoFilter ref="A4:M155"/>
  <x:tableColumns count="13">
    <x:tableColumn id="1" name="编号"/>
    <x:tableColumn id="2" name="大学"/>
    <x:tableColumn id="3" name="研究科/学院"/>
    <x:tableColumn id="4" name="专攻/课程"/>
    <x:tableColumn id="5" name="项目层级"/>
    <x:tableColumn id="6" name="项目ID"/>
    <x:tableColumn id="7" name="官网入口"/>
    <x:tableColumn id="8" name="官方数据状态"/>
    <x:tableColumn id="9" name="可用年度"/>
    <x:tableColumn id="10" name="粒度/缺口说明"/>
    <x:tableColumn id="11" name="最佳证据URL"/>
    <x:tableColumn id="12" name="官方数值行数"/>
    <x:tableColumn id="13" name="核查日期"/>
  </x:tableColumns>
  <x:tableStyleInfo name="TableStyleMedium2" showFirstColumn="0" showLastColumn="0" showRowStripes="1" showColumnStripes="0"/>
</x:table>
</file>

<file path=xl/tables/table2.xml><?xml version="1.0" encoding="utf-8"?>
<x:table xmlns:x="http://schemas.openxmlformats.org/spreadsheetml/2006/main" id="2" name="AdmissionsDataTable" displayName="AdmissionsDataTable" ref="A4:Z507" headerRowCount="1" totalsRowCount="0" totalsRowShown="0">
  <x:autoFilter ref="A4:Z507"/>
  <x:tableColumns count="26">
    <x:tableColumn id="1" name="大学"/>
    <x:tableColumn id="2" name="研究科/学院"/>
    <x:tableColumn id="3" name="专攻/统计对象"/>
    <x:tableColumn id="4" name="入学年度"/>
    <x:tableColumn id="5" name="考试期"/>
    <x:tableColumn id="6" name="课程"/>
    <x:tableColumn id="7" name="选拔类别"/>
    <x:tableColumn id="8" name="统计粒度"/>
    <x:tableColumn id="9" name="募集人数"/>
    <x:tableColumn id="10" name="志愿者"/>
    <x:tableColumn id="11" name="受验者"/>
    <x:tableColumn id="12" name="合格者"/>
    <x:tableColumn id="13" name="入学者"/>
    <x:tableColumn id="14" name="志愿/合格倍率"/>
    <x:tableColumn id="15" name="受验/合格倍率"/>
    <x:tableColumn id="16" name="合格率"/>
    <x:tableColumn id="17" name="入学转化率"/>
    <x:tableColumn id="18" name="主要倍率"/>
    <x:tableColumn id="19" name="主要口径"/>
    <x:tableColumn id="20" name="来源类型"/>
    <x:tableColumn id="21" name="可信度"/>
    <x:tableColumn id="22" name="来源标题"/>
    <x:tableColumn id="23" name="证据定位"/>
    <x:tableColumn id="24" name="来源URL"/>
    <x:tableColumn id="25" name="范围说明"/>
    <x:tableColumn id="26" name="备注"/>
  </x:tableColumns>
  <x:tableStyleInfo name="TableStyleMedium2" showFirstColumn="0" showLastColumn="0" showRowStripes="1" showColumnStripes="0"/>
</x:table>
</file>

<file path=xl/tables/table3.xml><?xml version="1.0" encoding="utf-8"?>
<x:table xmlns:x="http://schemas.openxmlformats.org/spreadsheetml/2006/main" id="3" name="CoverageSummaryTable" displayName="CoverageSummaryTable" ref="A4:H31" headerRowCount="1" totalsRowCount="0" totalsRowShown="0">
  <x:autoFilter ref="A4:H31"/>
  <x:tableColumns count="8">
    <x:tableColumn id="1" name="大学"/>
    <x:tableColumn id="2" name="项目清单行"/>
    <x:tableColumn id="3" name="精确到专攻/项目"/>
    <x:tableColumn id="4" name="仅上位层级合计"/>
    <x:tableColumn id="5" name="未找到公开统计"/>
    <x:tableColumn id="6" name="精确覆盖率"/>
    <x:tableColumn id="7" name="有数据覆盖率"/>
    <x:tableColumn id="8" name="官方数值行"/>
  </x:tableColumns>
  <x:tableStyleInfo name="TableStyleMedium2" showFirstColumn="0" showLastColumn="0" showRowStripes="1" showColumnStripes="0"/>
</x:table>
</file>

<file path=xl/tables/table4.xml><?xml version="1.0" encoding="utf-8"?>
<x:table xmlns:x="http://schemas.openxmlformats.org/spreadsheetml/2006/main" id="4" name="EvidenceSourceTable" displayName="EvidenceSourceTable" ref="A4:H127" headerRowCount="1" totalsRowCount="0" totalsRowShown="0">
  <x:autoFilter ref="A4:H127"/>
  <x:tableColumns count="8">
    <x:tableColumn id="1" name="编号"/>
    <x:tableColumn id="2" name="类型"/>
    <x:tableColumn id="3" name="可信度"/>
    <x:tableColumn id="4" name="来源标题"/>
    <x:tableColumn id="5" name="URL"/>
    <x:tableColumn id="6" name="关联大学"/>
    <x:tableColumn id="7" name="说明"/>
    <x:tableColumn id="8" name="最近核查"/>
  </x:tableColumns>
  <x:tableStyleInfo name="TableStyleMedium2" showFirstColumn="0" showLastColumn="0" showRowStripes="1" showColumnStripes="0"/>
</x:table>
</file>

<file path=xl/tables/table5.xml><?xml version="1.0" encoding="utf-8"?>
<x:table xmlns:x="http://schemas.openxmlformats.org/spreadsheetml/2006/main" id="5" name="UnofficialSupplementTable" displayName="UnofficialSupplementTable" ref="A4:K14" headerRowCount="1" totalsRowCount="0" totalsRowShown="0">
  <x:autoFilter ref="A4:K14"/>
  <x:tableColumns count="11">
    <x:tableColumn id="1" name="大学"/>
    <x:tableColumn id="2" name="研究科/学院"/>
    <x:tableColumn id="3" name="专攻/课程"/>
    <x:tableColumn id="4" name="入学年度"/>
    <x:tableColumn id="5" name="补充项目"/>
    <x:tableColumn id="6" name="民间报告值"/>
    <x:tableColumn id="7" name="来源类型"/>
    <x:tableColumn id="8" name="可信度"/>
    <x:tableColumn id="9" name="来源标题"/>
    <x:tableColumn id="10" name="来源URL"/>
    <x:tableColumn id="11" name="使用限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6b2255f0ae74fc5" /></Relationships>
</file>

<file path=xl/worksheets/_rels/sheet2.xml.rels>&#65279;<?xml version="1.0" encoding="utf-8"?><Relationships xmlns="http://schemas.openxmlformats.org/package/2006/relationships"><Relationship Type="http://schemas.openxmlformats.org/officeDocument/2006/relationships/table" Target="/xl/tables/table1.xml" Id="Rdea429073a734bec" /></Relationships>
</file>

<file path=xl/worksheets/_rels/sheet3.xml.rels>&#65279;<?xml version="1.0" encoding="utf-8"?><Relationships xmlns="http://schemas.openxmlformats.org/package/2006/relationships"><Relationship Type="http://schemas.openxmlformats.org/officeDocument/2006/relationships/table" Target="/xl/tables/table2.xml" Id="R07b30abba8e24d32" /></Relationships>
</file>

<file path=xl/worksheets/_rels/sheet4.xml.rels>&#65279;<?xml version="1.0" encoding="utf-8"?><Relationships xmlns="http://schemas.openxmlformats.org/package/2006/relationships"><Relationship Type="http://schemas.openxmlformats.org/officeDocument/2006/relationships/table" Target="/xl/tables/table3.xml" Id="Raa0e887225cb4865" /></Relationships>
</file>

<file path=xl/worksheets/_rels/sheet5.xml.rels>&#65279;<?xml version="1.0" encoding="utf-8"?><Relationships xmlns="http://schemas.openxmlformats.org/package/2006/relationships"><Relationship Type="http://schemas.openxmlformats.org/officeDocument/2006/relationships/table" Target="/xl/tables/table4.xml" Id="Rc929e41402f54c53" /></Relationships>
</file>

<file path=xl/worksheets/_rels/sheet6.xml.rels>&#65279;<?xml version="1.0" encoding="utf-8"?><Relationships xmlns="http://schemas.openxmlformats.org/package/2006/relationships"><Relationship Type="http://schemas.openxmlformats.org/officeDocument/2006/relationships/table" Target="/xl/tables/table5.xml" Id="Re137b3af5ae542b2"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4" customHeight="1">
      <x:c r="A1" s="4" t="str">
        <x:v>日本大学院报录比与招生数据</x:v>
      </x:c>
      <x:c r="B1" s="4"/>
      <x:c r="C1" s="4"/>
      <x:c r="D1" s="4"/>
      <x:c r="E1" s="4"/>
      <x:c r="F1" s="4"/>
      <x:c r="G1" s="4"/>
      <x:c r="H1" s="4"/>
      <x:c r="I1" s="4"/>
      <x:c r="J1" s="4"/>
      <x:c r="K1" s="4"/>
      <x:c r="L1" s="4"/>
    </x:row>
    <x:row r="2" ht="34" customHeight="1">
      <x:c r="A2" s="4"/>
      <x:c r="B2" s="4"/>
      <x:c r="C2" s="4"/>
      <x:c r="D2" s="4"/>
      <x:c r="E2" s="4"/>
      <x:c r="F2" s="4"/>
      <x:c r="G2" s="4"/>
      <x:c r="H2" s="4"/>
      <x:c r="I2" s="4"/>
      <x:c r="J2" s="4"/>
      <x:c r="K2" s="4"/>
      <x:c r="L2" s="4"/>
    </x:row>
    <x:row r="3" ht="25" customHeight="1">
      <x:c r="A3" s="6" t="str">
        <x:v>项目范围：27所大学、64个研究科层级、140个专攻/课程；数据核查日：2026-08-28</x:v>
      </x:c>
      <x:c r="B3" s="6"/>
      <x:c r="C3" s="6"/>
      <x:c r="D3" s="6"/>
      <x:c r="E3" s="6"/>
      <x:c r="F3" s="6"/>
      <x:c r="G3" s="6"/>
      <x:c r="H3" s="6"/>
      <x:c r="I3" s="6"/>
      <x:c r="J3" s="6"/>
      <x:c r="K3" s="6"/>
      <x:c r="L3" s="6"/>
    </x:row>
    <x:row r="4">
      <x:c r="A4" s="2"/>
      <x:c r="B4" s="2"/>
      <x:c r="C4" s="2"/>
      <x:c r="D4" s="2"/>
      <x:c r="E4" s="2"/>
      <x:c r="F4" s="2"/>
      <x:c r="G4" s="2"/>
      <x:c r="H4" s="2"/>
      <x:c r="I4" s="2"/>
      <x:c r="J4" s="2"/>
      <x:c r="K4" s="2"/>
      <x:c r="L4" s="2"/>
    </x:row>
    <x:row r="5">
      <x:c r="A5" s="11" t="str">
        <x:v>项目清单行数</x:v>
      </x:c>
      <x:c r="B5" s="11"/>
      <x:c r="C5" s="11" t="str">
        <x:v>精确到专攻/项目</x:v>
      </x:c>
      <x:c r="D5" s="11"/>
      <x:c r="E5" s="11" t="str">
        <x:v>仅上位层级合计</x:v>
      </x:c>
      <x:c r="F5" s="11"/>
      <x:c r="G5" s="11" t="str">
        <x:v>未找到公开统计</x:v>
      </x:c>
      <x:c r="H5" s="11"/>
      <x:c r="I5" s="11" t="str">
        <x:v>官方数值行</x:v>
      </x:c>
      <x:c r="J5" s="11"/>
      <x:c r="K5" s="11" t="str">
        <x:v>证据来源数</x:v>
      </x:c>
      <x:c r="L5" s="11"/>
    </x:row>
    <x:row r="6">
      <x:c r="A6" s="12" t="n">
        <x:f>COUNTA('项目专攻清单'!$A$5:$A$155)</x:f>
        <x:v>151</x:v>
      </x:c>
      <x:c r="B6" s="12"/>
      <x:c r="C6" s="16" t="n">
        <x:f>COUNTIF('项目专攻清单'!$H$5:$H$155,"精确到专攻/项目")</x:f>
        <x:v>84</x:v>
      </x:c>
      <x:c r="D6" s="16"/>
      <x:c r="E6" s="20" t="n">
        <x:f>COUNTIF('项目专攻清单'!$H$5:$H$155,"仅上位层级合计")</x:f>
        <x:v>31</x:v>
      </x:c>
      <x:c r="F6" s="20"/>
      <x:c r="G6" s="24" t="n">
        <x:f>COUNTIF('项目专攻清单'!$H$5:$H$155,"未找到公开统计")</x:f>
        <x:v>36</x:v>
      </x:c>
      <x:c r="H6" s="24"/>
      <x:c r="I6" s="12" t="n">
        <x:f>COUNTA('历年报录数据'!$A$5:$A$507)</x:f>
        <x:v>503</x:v>
      </x:c>
      <x:c r="J6" s="12"/>
      <x:c r="K6" s="12" t="n">
        <x:f>COUNTA('数据源'!$A$5:$A$127)</x:f>
        <x:v>123</x:v>
      </x:c>
      <x:c r="L6" s="12"/>
    </x:row>
    <x:row r="7">
      <x:c r="A7" s="12"/>
      <x:c r="B7" s="12"/>
      <x:c r="C7" s="16"/>
      <x:c r="D7" s="16"/>
      <x:c r="E7" s="20"/>
      <x:c r="F7" s="20"/>
      <x:c r="G7" s="24"/>
      <x:c r="H7" s="24"/>
      <x:c r="I7" s="12"/>
      <x:c r="J7" s="12"/>
      <x:c r="K7" s="12"/>
      <x:c r="L7" s="12"/>
    </x:row>
    <x:row r="8">
      <x:c r="A8" s="2"/>
      <x:c r="B8" s="2"/>
      <x:c r="C8" s="2"/>
      <x:c r="D8" s="2"/>
      <x:c r="E8" s="2"/>
      <x:c r="F8" s="2"/>
      <x:c r="G8" s="2"/>
      <x:c r="H8" s="2"/>
      <x:c r="I8" s="2"/>
      <x:c r="J8" s="2"/>
      <x:c r="K8" s="2"/>
      <x:c r="L8" s="2"/>
    </x:row>
    <x:row r="9" ht="32" customHeight="1">
      <x:c r="A9" s="26" t="str">
        <x:v>口径与使用建议</x:v>
      </x:c>
      <x:c r="B9" s="26"/>
      <x:c r="C9" s="26"/>
      <x:c r="D9" s="26"/>
      <x:c r="E9" s="26"/>
      <x:c r="F9" s="26"/>
      <x:c r="G9" s="2"/>
      <x:c r="H9" s="33" t="str">
        <x:v>覆盖类型</x:v>
      </x:c>
      <x:c r="I9" s="33" t="str">
        <x:v>数量</x:v>
      </x:c>
      <x:c r="J9" s="2"/>
      <x:c r="K9" s="2"/>
      <x:c r="L9" s="2"/>
    </x:row>
    <x:row r="10" ht="34" customHeight="1">
      <x:c r="A10" s="29" t="str">
        <x:v>1. 优先使用官网公开的志愿者、受验者、合格者、入学者数据；空白表示官网未公开，不代表人数为0。</x:v>
      </x:c>
      <x:c r="B10" s="29"/>
      <x:c r="C10" s="29"/>
      <x:c r="D10" s="29"/>
      <x:c r="E10" s="29"/>
      <x:c r="F10" s="29"/>
      <x:c r="G10" s="2"/>
      <x:c r="H10" s="34" t="str">
        <x:v>精确到专攻/项目</x:v>
      </x:c>
      <x:c r="I10" s="34" t="n">
        <x:f>C6</x:f>
        <x:v>84</x:v>
      </x:c>
      <x:c r="J10" s="2"/>
      <x:c r="K10" s="2"/>
      <x:c r="L10" s="2"/>
    </x:row>
    <x:row r="11" ht="34" customHeight="1">
      <x:c r="A11" s="29" t="str">
        <x:v>2. “精确到专攻/项目”可以用于该项目历年纵向比较；“仅上位层级合计”只能作为研究科或学院层级参考。</x:v>
      </x:c>
      <x:c r="B11" s="29"/>
      <x:c r="C11" s="29"/>
      <x:c r="D11" s="29"/>
      <x:c r="E11" s="29"/>
      <x:c r="F11" s="29"/>
      <x:c r="G11" s="2"/>
      <x:c r="H11" s="34" t="str">
        <x:v>仅上位层级合计</x:v>
      </x:c>
      <x:c r="I11" s="34" t="n">
        <x:f>E6</x:f>
        <x:v>31</x:v>
      </x:c>
      <x:c r="J11" s="2"/>
      <x:c r="K11" s="2"/>
      <x:c r="L11" s="2"/>
    </x:row>
    <x:row r="12" ht="34" customHeight="1">
      <x:c r="A12" s="29" t="str">
        <x:v>3. 主要倍率优先取“志愿者÷合格者”；若志愿者缺失，才取“受验者÷合格者”。</x:v>
      </x:c>
      <x:c r="B12" s="29"/>
      <x:c r="C12" s="29"/>
      <x:c r="D12" s="29"/>
      <x:c r="E12" s="29"/>
      <x:c r="F12" s="29"/>
      <x:c r="G12" s="2"/>
      <x:c r="H12" s="34" t="str">
        <x:v>未找到公开统计</x:v>
      </x:c>
      <x:c r="I12" s="34" t="n">
        <x:f>G6</x:f>
        <x:v>36</x:v>
      </x:c>
      <x:c r="J12" s="2"/>
      <x:c r="K12" s="2"/>
      <x:c r="L12" s="2"/>
    </x:row>
    <x:row r="13" ht="34" customHeight="1">
      <x:c r="A13" s="29" t="str">
        <x:v>4. 夏季、冬季、秋季、春季或第1/第2次募集尽量分行保留；另列全年合计时会在证据定位或备注中说明。</x:v>
      </x:c>
      <x:c r="B13" s="29"/>
      <x:c r="C13" s="29"/>
      <x:c r="D13" s="29"/>
      <x:c r="E13" s="29"/>
      <x:c r="F13" s="29"/>
      <x:c r="G13" s="2"/>
      <x:c r="H13" s="2"/>
      <x:c r="I13" s="2"/>
      <x:c r="J13" s="2"/>
      <x:c r="K13" s="2"/>
      <x:c r="L13" s="2"/>
    </x:row>
    <x:row r="14" ht="34" customHeight="1">
      <x:c r="A14" s="29" t="str">
        <x:v>5. note、Academaid等资料只放在“民间补充”，统一标为中可信度，不参与官方主表公式。</x:v>
      </x:c>
      <x:c r="B14" s="29"/>
      <x:c r="C14" s="29"/>
      <x:c r="D14" s="29"/>
      <x:c r="E14" s="29"/>
      <x:c r="F14" s="29"/>
      <x:c r="G14" s="2"/>
      <x:c r="H14" s="2"/>
      <x:c r="I14" s="2"/>
      <x:c r="J14" s="2"/>
      <x:c r="K14" s="2"/>
      <x:c r="L14" s="2"/>
    </x:row>
    <x:row r="15" ht="34" customHeight="1">
      <x:c r="A15" s="29" t="str">
        <x:v>6. 报录比不能完全代表录取难度：内部生比例、研究室名额、考试科目和合格线仍会显著影响结果。</x:v>
      </x:c>
      <x:c r="B15" s="29"/>
      <x:c r="C15" s="29"/>
      <x:c r="D15" s="29"/>
      <x:c r="E15" s="29"/>
      <x:c r="F15" s="29"/>
      <x:c r="G15" s="2"/>
      <x:c r="H15" s="2"/>
      <x:c r="I15" s="2"/>
      <x:c r="J15" s="2"/>
      <x:c r="K15" s="2"/>
      <x:c r="L15" s="2"/>
    </x:row>
    <x:row r="16">
      <x:c r="A16" s="2"/>
      <x:c r="B16" s="2"/>
      <x:c r="C16" s="2"/>
      <x:c r="D16" s="2"/>
      <x:c r="E16" s="2"/>
      <x:c r="F16" s="2"/>
      <x:c r="G16" s="2"/>
      <x:c r="H16" s="2"/>
      <x:c r="I16" s="2"/>
      <x:c r="J16" s="2"/>
      <x:c r="K16" s="2"/>
      <x:c r="L16" s="2"/>
    </x:row>
    <x:row r="17">
      <x:c r="A17" s="2"/>
      <x:c r="B17" s="2"/>
      <x:c r="C17" s="2"/>
      <x:c r="D17" s="2"/>
      <x:c r="E17" s="2"/>
      <x:c r="F17" s="2"/>
      <x:c r="G17" s="2"/>
      <x:c r="H17" s="2"/>
      <x:c r="I17" s="2"/>
      <x:c r="J17" s="2"/>
      <x:c r="K17" s="2"/>
      <x:c r="L17" s="2"/>
    </x:row>
    <x:row r="18">
      <x:c r="A18" s="26" t="str">
        <x:v>倍率与比例字段</x:v>
      </x:c>
      <x:c r="B18" s="26"/>
      <x:c r="C18" s="26"/>
      <x:c r="D18" s="26"/>
      <x:c r="E18" s="26"/>
      <x:c r="F18" s="26"/>
      <x:c r="G18" s="2"/>
      <x:c r="H18" s="2"/>
      <x:c r="I18" s="2"/>
      <x:c r="J18" s="2"/>
      <x:c r="K18" s="2"/>
      <x:c r="L18" s="2"/>
    </x:row>
    <x:row r="19" ht="32" customHeight="1">
      <x:c r="A19" s="33" t="str">
        <x:v>字段</x:v>
      </x:c>
      <x:c r="B19" s="33" t="str">
        <x:v>公式</x:v>
      </x:c>
      <x:c r="C19" s="33" t="str">
        <x:v>适用场景</x:v>
      </x:c>
      <x:c r="D19" s="33" t="str">
        <x:v>关键限制</x:v>
      </x:c>
      <x:c r="E19" s="33" t="str">
        <x:v>显示格式</x:v>
      </x:c>
      <x:c r="F19" s="33" t="str">
        <x:v>是否进入主要倍率</x:v>
      </x:c>
      <x:c r="G19" s="2"/>
      <x:c r="H19" s="2"/>
      <x:c r="I19" s="2"/>
      <x:c r="J19" s="2"/>
      <x:c r="K19" s="2"/>
      <x:c r="L19" s="2"/>
    </x:row>
    <x:row r="20" ht="30" customHeight="1">
      <x:c r="A20" s="35" t="str">
        <x:v>志愿/合格倍率</x:v>
      </x:c>
      <x:c r="B20" s="35" t="str">
        <x:v>志愿者÷合格者</x:v>
      </x:c>
      <x:c r="C20" s="35" t="str">
        <x:v>看出愿竞争</x:v>
      </x:c>
      <x:c r="D20" s="35" t="str">
        <x:v>可能包含未实际受验者</x:v>
      </x:c>
      <x:c r="E20" s="35" t="str">
        <x:v>0.00×</x:v>
      </x:c>
      <x:c r="F20" s="35" t="str">
        <x:v>是，优先</x:v>
      </x:c>
      <x:c r="G20" s="2"/>
      <x:c r="H20" s="2"/>
      <x:c r="I20" s="2"/>
      <x:c r="J20" s="2"/>
      <x:c r="K20" s="2"/>
      <x:c r="L20" s="2"/>
    </x:row>
    <x:row r="21" ht="30" customHeight="1">
      <x:c r="A21" s="35" t="str">
        <x:v>受验/合格倍率</x:v>
      </x:c>
      <x:c r="B21" s="35" t="str">
        <x:v>受验者÷合格者</x:v>
      </x:c>
      <x:c r="C21" s="35" t="str">
        <x:v>看实际应试竞争</x:v>
      </x:c>
      <x:c r="D21" s="35" t="str">
        <x:v>部分学校不公开受验人数</x:v>
      </x:c>
      <x:c r="E21" s="35" t="str">
        <x:v>0.00×</x:v>
      </x:c>
      <x:c r="F21" s="35" t="str">
        <x:v>是，候补</x:v>
      </x:c>
      <x:c r="G21" s="2"/>
      <x:c r="H21" s="2"/>
      <x:c r="I21" s="2"/>
      <x:c r="J21" s="2"/>
      <x:c r="K21" s="2"/>
      <x:c r="L21" s="2"/>
    </x:row>
    <x:row r="22" ht="30" customHeight="1">
      <x:c r="A22" s="35" t="str">
        <x:v>合格率</x:v>
      </x:c>
      <x:c r="B22" s="35" t="str">
        <x:v>合格者÷受验者</x:v>
      </x:c>
      <x:c r="C22" s="35" t="str">
        <x:v>看实际通过率</x:v>
      </x:c>
      <x:c r="D22" s="35" t="str">
        <x:v>受验者缺失时为空</x:v>
      </x:c>
      <x:c r="E22" s="35" t="str">
        <x:v>0.0%</x:v>
      </x:c>
      <x:c r="F22" s="35" t="str">
        <x:v>否</x:v>
      </x:c>
      <x:c r="G22" s="2"/>
      <x:c r="H22" s="2"/>
      <x:c r="I22" s="2"/>
      <x:c r="J22" s="2"/>
      <x:c r="K22" s="2"/>
      <x:c r="L22" s="2"/>
    </x:row>
    <x:row r="23" ht="30" customHeight="1">
      <x:c r="A23" s="35" t="str">
        <x:v>入学转化率</x:v>
      </x:c>
      <x:c r="B23" s="35" t="str">
        <x:v>入学者÷合格者</x:v>
      </x:c>
      <x:c r="C23" s="35" t="str">
        <x:v>观察合格后入学意向</x:v>
      </x:c>
      <x:c r="D23" s="35" t="str">
        <x:v>受并愿、辞退影响</x:v>
      </x:c>
      <x:c r="E23" s="35" t="str">
        <x:v>0.0%</x:v>
      </x:c>
      <x:c r="F23" s="35" t="str">
        <x:v>否</x:v>
      </x:c>
      <x:c r="G23" s="2"/>
      <x:c r="H23" s="2"/>
      <x:c r="I23" s="2"/>
      <x:c r="J23" s="2"/>
      <x:c r="K23" s="2"/>
      <x:c r="L23" s="2"/>
    </x:row>
    <x:row r="24" ht="30" customHeight="1">
      <x:c r="A24" s="35" t="str">
        <x:v>主要倍率</x:v>
      </x:c>
      <x:c r="B24" s="35" t="str">
        <x:v>优先志愿/合格，否则受验/合格</x:v>
      </x:c>
      <x:c r="C24" s="35" t="str">
        <x:v>跨行快速排序</x:v>
      </x:c>
      <x:c r="D24" s="35" t="str">
        <x:v>必须结合统计粒度读取</x:v>
      </x:c>
      <x:c r="E24" s="35" t="str">
        <x:v>0.00×</x:v>
      </x:c>
      <x:c r="F24" s="35" t="str">
        <x:v>—</x:v>
      </x:c>
      <x:c r="G24" s="2"/>
      <x:c r="H24" s="2"/>
      <x:c r="I24" s="2"/>
      <x:c r="J24" s="2"/>
      <x:c r="K24" s="2"/>
      <x:c r="L24" s="2"/>
    </x:row>
    <x:row r="25">
      <x:c r="A25" s="2"/>
      <x:c r="B25" s="2"/>
      <x:c r="C25" s="2"/>
      <x:c r="D25" s="2"/>
      <x:c r="E25" s="2"/>
      <x:c r="F25" s="2"/>
      <x:c r="G25" s="2"/>
      <x:c r="H25" s="2"/>
      <x:c r="I25" s="2"/>
      <x:c r="J25" s="2"/>
      <x:c r="K25" s="2"/>
      <x:c r="L25" s="2"/>
    </x:row>
    <x:row r="26">
      <x:c r="A26" s="2"/>
      <x:c r="B26" s="2"/>
      <x:c r="C26" s="2"/>
      <x:c r="D26" s="2"/>
      <x:c r="E26" s="2"/>
      <x:c r="F26" s="2"/>
      <x:c r="G26" s="2"/>
      <x:c r="H26" s="2"/>
      <x:c r="I26" s="2"/>
      <x:c r="J26" s="2"/>
      <x:c r="K26" s="2"/>
      <x:c r="L26" s="2"/>
    </x:row>
    <x:row r="27">
      <x:c r="A27" s="26" t="str">
        <x:v>可信度标记</x:v>
      </x:c>
      <x:c r="B27" s="26"/>
      <x:c r="C27" s="26"/>
      <x:c r="D27" s="26"/>
      <x:c r="E27" s="26"/>
      <x:c r="F27" s="26"/>
      <x:c r="G27" s="2"/>
      <x:c r="H27" s="2"/>
      <x:c r="I27" s="2"/>
      <x:c r="J27" s="2"/>
      <x:c r="K27" s="2"/>
      <x:c r="L27" s="2"/>
    </x:row>
    <x:row r="28" ht="32" customHeight="1">
      <x:c r="A28" s="33" t="str">
        <x:v>等级</x:v>
      </x:c>
      <x:c r="B28" s="33" t="str">
        <x:v>来源</x:v>
      </x:c>
      <x:c r="C28" s="33" t="str">
        <x:v>在工作簿中的位置</x:v>
      </x:c>
      <x:c r="D28" s="33" t="str">
        <x:v>可以怎么用</x:v>
      </x:c>
      <x:c r="E28" s="33" t="str">
        <x:v>不应怎么用</x:v>
      </x:c>
      <x:c r="F28" s="33" t="str">
        <x:v>颜色</x:v>
      </x:c>
      <x:c r="G28" s="2"/>
      <x:c r="H28" s="2"/>
      <x:c r="I28" s="2"/>
      <x:c r="J28" s="2"/>
      <x:c r="K28" s="2"/>
      <x:c r="L28" s="2"/>
    </x:row>
    <x:row r="29" ht="30" customHeight="1">
      <x:c r="A29" s="35" t="str">
        <x:v>高</x:v>
      </x:c>
      <x:c r="B29" s="35" t="str">
        <x:v>学校/研究科官方网站或官方PDF</x:v>
      </x:c>
      <x:c r="C29" s="35" t="str">
        <x:v>历年报录数据、数据源</x:v>
      </x:c>
      <x:c r="D29" s="35" t="str">
        <x:v>计算主倍率、纵向比较</x:v>
      </x:c>
      <x:c r="E29" s="35" t="str">
        <x:v>忽略粒度差异直接横比</x:v>
      </x:c>
      <x:c r="F29" s="35" t="str">
        <x:v>蓝/绿</x:v>
      </x:c>
      <x:c r="G29" s="2"/>
      <x:c r="H29" s="2"/>
      <x:c r="I29" s="2"/>
      <x:c r="J29" s="2"/>
      <x:c r="K29" s="2"/>
      <x:c r="L29" s="2"/>
    </x:row>
    <x:row r="30" ht="30" customHeight="1">
      <x:c r="A30" s="35" t="str">
        <x:v>中</x:v>
      </x:c>
      <x:c r="B30" s="35" t="str">
        <x:v>note、Academaid等民间整理或个人观察</x:v>
      </x:c>
      <x:c r="C30" s="35" t="str">
        <x:v>民间补充</x:v>
      </x:c>
      <x:c r="D30" s="35" t="str">
        <x:v>补足官网未细分的线索</x:v>
      </x:c>
      <x:c r="E30" s="35" t="str">
        <x:v>与官方数字等权合并</x:v>
      </x:c>
      <x:c r="F30" s="35" t="str">
        <x:v>橙</x:v>
      </x:c>
      <x:c r="G30" s="2"/>
      <x:c r="H30" s="2"/>
      <x:c r="I30" s="2"/>
      <x:c r="J30" s="2"/>
      <x:c r="K30" s="2"/>
      <x:c r="L30" s="2"/>
    </x:row>
    <x:row r="31" ht="30" customHeight="1">
      <x:c r="A31" s="35" t="str">
        <x:v>空白</x:v>
      </x:c>
      <x:c r="B31" s="35" t="str">
        <x:v>本次未找到可验证数字</x:v>
      </x:c>
      <x:c r="C31" s="35" t="str">
        <x:v>项目专攻清单</x:v>
      </x:c>
      <x:c r="D31" s="35" t="str">
        <x:v>作为后续人工问询清单</x:v>
      </x:c>
      <x:c r="E31" s="35" t="str">
        <x:v>把空白理解为0</x:v>
      </x:c>
      <x:c r="F31" s="35" t="str">
        <x:v>灰</x:v>
      </x:c>
      <x:c r="G31" s="2"/>
      <x:c r="H31" s="2"/>
      <x:c r="I31" s="2"/>
      <x:c r="J31" s="2"/>
      <x:c r="K31" s="2"/>
      <x:c r="L31" s="2"/>
    </x:row>
    <x:row r="32">
      <x:c r="A32" s="2"/>
      <x:c r="B32" s="2"/>
      <x:c r="C32" s="2"/>
      <x:c r="D32" s="2"/>
      <x:c r="E32" s="2"/>
      <x:c r="F32" s="2"/>
      <x:c r="G32" s="2"/>
      <x:c r="H32" s="2"/>
      <x:c r="I32" s="2"/>
      <x:c r="J32" s="2"/>
      <x:c r="K32" s="2"/>
      <x:c r="L32" s="2"/>
    </x:row>
    <x:row r="33">
      <x:c r="A33" s="2"/>
      <x:c r="B33" s="2"/>
      <x:c r="C33" s="2"/>
      <x:c r="D33" s="2"/>
      <x:c r="E33" s="2"/>
      <x:c r="F33" s="2"/>
      <x:c r="G33" s="2"/>
      <x:c r="H33" s="2"/>
      <x:c r="I33" s="2"/>
      <x:c r="J33" s="2"/>
      <x:c r="K33" s="2"/>
      <x:c r="L33" s="2"/>
    </x:row>
    <x:row r="34">
      <x:c r="A34" s="38" t="str">
        <x:v>建议筛选顺序：项目专攻清单 → 选择“精确到专攻/项目” → 历年报录数据按学校、专攻、年度筛选 → 最后查看来源URL与证据定位。</x:v>
      </x:c>
      <x:c r="B34" s="39"/>
      <x:c r="C34" s="39"/>
      <x:c r="D34" s="39"/>
      <x:c r="E34" s="39"/>
      <x:c r="F34" s="39"/>
      <x:c r="G34" s="39"/>
      <x:c r="H34" s="39"/>
      <x:c r="I34" s="39"/>
      <x:c r="J34" s="39"/>
      <x:c r="K34" s="39"/>
      <x:c r="L34" s="40"/>
    </x:row>
    <x:row r="35">
      <x:c r="A35" s="41"/>
      <x:c r="B35" s="42"/>
      <x:c r="C35" s="42"/>
      <x:c r="D35" s="42"/>
      <x:c r="E35" s="42"/>
      <x:c r="F35" s="42"/>
      <x:c r="G35" s="42"/>
      <x:c r="H35" s="42"/>
      <x:c r="I35" s="42"/>
      <x:c r="J35" s="42"/>
      <x:c r="K35" s="42"/>
      <x:c r="L35" s="43"/>
    </x:row>
    <x:row r="36">
      <x:c r="A36" s="2"/>
      <x:c r="B36" s="2"/>
      <x:c r="C36" s="2"/>
      <x:c r="D36" s="2"/>
      <x:c r="E36" s="2"/>
      <x:c r="F36" s="2"/>
      <x:c r="G36" s="2"/>
      <x:c r="H36" s="2"/>
      <x:c r="I36" s="2"/>
      <x:c r="J36" s="2"/>
      <x:c r="K36" s="2"/>
      <x:c r="L36" s="2"/>
    </x:row>
    <x:row r="37">
      <x:c r="A37" s="2"/>
      <x:c r="B37" s="2"/>
      <x:c r="C37" s="2"/>
      <x:c r="D37" s="2"/>
      <x:c r="E37" s="2"/>
      <x:c r="F37" s="2"/>
      <x:c r="G37" s="2"/>
      <x:c r="H37" s="2"/>
      <x:c r="I37" s="2"/>
      <x:c r="J37" s="2"/>
      <x:c r="K37" s="2"/>
      <x:c r="L37" s="2"/>
    </x:row>
    <x:row r="38">
      <x:c r="A38" s="2"/>
      <x:c r="B38" s="2"/>
      <x:c r="C38" s="2"/>
      <x:c r="D38" s="2"/>
      <x:c r="E38" s="2"/>
      <x:c r="F38" s="2"/>
      <x:c r="G38" s="2"/>
      <x:c r="H38" s="2"/>
      <x:c r="I38" s="2"/>
      <x:c r="J38" s="2"/>
      <x:c r="K38" s="2"/>
      <x:c r="L38" s="2"/>
    </x:row>
  </x:sheetData>
  <x:mergeCells>
    <x:mergeCell ref="A1:L2"/>
    <x:mergeCell ref="A3:L3"/>
    <x:mergeCell ref="A5:B5"/>
    <x:mergeCell ref="A6:B7"/>
    <x:mergeCell ref="C5:D5"/>
    <x:mergeCell ref="C6:D7"/>
    <x:mergeCell ref="E5:F5"/>
    <x:mergeCell ref="E6:F7"/>
    <x:mergeCell ref="G5:H5"/>
    <x:mergeCell ref="G6:H7"/>
    <x:mergeCell ref="I5:J5"/>
    <x:mergeCell ref="I6:J7"/>
    <x:mergeCell ref="K5:L5"/>
    <x:mergeCell ref="K6:L7"/>
    <x:mergeCell ref="A9:F9"/>
    <x:mergeCell ref="A10:F10"/>
    <x:mergeCell ref="A11:F11"/>
    <x:mergeCell ref="A12:F12"/>
    <x:mergeCell ref="A13:F13"/>
    <x:mergeCell ref="A14:F14"/>
    <x:mergeCell ref="A15:F15"/>
    <x:mergeCell ref="A18:F18"/>
    <x:mergeCell ref="A27:F27"/>
    <x:mergeCell ref="A34:L35"/>
  </x:mergeCells>
  <x:pageMargins left="0.7" right="0.7" top="0.75" bottom="0.75" header="0.3" footer="0.3"/>
  <x:drawing xmlns:r="http://schemas.openxmlformats.org/officeDocument/2006/relationships" r:id="R46b2255f0ae74fc5"/>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0" hidden="0" customWidth="1"/>
    <x:col min="3" max="3" width="24" hidden="0" customWidth="1"/>
    <x:col min="4" max="4" width="31" hidden="0" customWidth="1"/>
    <x:col min="5" max="5" width="14" hidden="0" customWidth="1"/>
    <x:col min="6" max="6" width="28" hidden="0" customWidth="1"/>
    <x:col min="7" max="7" width="36" hidden="0" customWidth="1"/>
    <x:col min="8" max="8" width="20" hidden="0" customWidth="1"/>
    <x:col min="9" max="9" width="14" hidden="0" customWidth="1"/>
    <x:col min="10" max="10" width="48" hidden="0" customWidth="1"/>
    <x:col min="11" max="11" width="42" hidden="0" customWidth="1"/>
    <x:col min="12" max="12" width="13" hidden="0" customWidth="1"/>
    <x:col min="13" max="13" width="13" hidden="0" customWidth="1"/>
  </x:cols>
  <x:sheetData>
    <x:row r="1" ht="34" customHeight="1">
      <x:c r="A1" s="4" t="str">
        <x:v>项目中的学校・研究科・专攻清单</x:v>
      </x:c>
      <x:c r="B1" s="4"/>
      <x:c r="C1" s="4"/>
      <x:c r="D1" s="4"/>
      <x:c r="E1" s="4"/>
      <x:c r="F1" s="4"/>
      <x:c r="G1" s="4"/>
      <x:c r="H1" s="4"/>
      <x:c r="I1" s="4"/>
      <x:c r="J1" s="4"/>
      <x:c r="K1" s="4"/>
      <x:c r="L1" s="4"/>
      <x:c r="M1" s="4"/>
    </x:row>
    <x:row r="2" ht="25" customHeight="1">
      <x:c r="A2" s="6" t="str">
        <x:v>每一行均来自当前项目目录；状态明确区分专攻精确、仅上位层级合计和未找到公开统计。空白不是0。 </x:v>
      </x:c>
      <x:c r="B2" s="6"/>
      <x:c r="C2" s="6"/>
      <x:c r="D2" s="6"/>
      <x:c r="E2" s="6"/>
      <x:c r="F2" s="6"/>
      <x:c r="G2" s="6"/>
      <x:c r="H2" s="6"/>
      <x:c r="I2" s="6"/>
      <x:c r="J2" s="6"/>
      <x:c r="K2" s="6"/>
      <x:c r="L2" s="6"/>
      <x:c r="M2" s="6"/>
    </x:row>
    <x:row r="3">
      <x:c r="A3" s="2"/>
      <x:c r="B3" s="2"/>
      <x:c r="C3" s="2"/>
      <x:c r="D3" s="2"/>
      <x:c r="E3" s="2"/>
      <x:c r="F3" s="2"/>
      <x:c r="G3" s="2"/>
      <x:c r="H3" s="2"/>
      <x:c r="I3" s="2"/>
      <x:c r="J3" s="2"/>
      <x:c r="K3" s="2"/>
      <x:c r="L3" s="2"/>
      <x:c r="M3" s="2"/>
    </x:row>
    <x:row r="4" ht="32" customHeight="1">
      <x:c r="A4" s="33" t="str">
        <x:v>编号</x:v>
      </x:c>
      <x:c r="B4" s="33" t="str">
        <x:v>大学</x:v>
      </x:c>
      <x:c r="C4" s="33" t="str">
        <x:v>研究科/学院</x:v>
      </x:c>
      <x:c r="D4" s="33" t="str">
        <x:v>专攻/课程</x:v>
      </x:c>
      <x:c r="E4" s="33" t="str">
        <x:v>项目层级</x:v>
      </x:c>
      <x:c r="F4" s="33" t="str">
        <x:v>项目ID</x:v>
      </x:c>
      <x:c r="G4" s="33" t="str">
        <x:v>官网入口</x:v>
      </x:c>
      <x:c r="H4" s="33" t="str">
        <x:v>官方数据状态</x:v>
      </x:c>
      <x:c r="I4" s="33" t="str">
        <x:v>可用年度</x:v>
      </x:c>
      <x:c r="J4" s="33" t="str">
        <x:v>粒度/缺口说明</x:v>
      </x:c>
      <x:c r="K4" s="33" t="str">
        <x:v>最佳证据URL</x:v>
      </x:c>
      <x:c r="L4" s="33" t="str">
        <x:v>官方数值行数</x:v>
      </x:c>
      <x:c r="M4" s="33" t="str">
        <x:v>核查日期</x:v>
      </x:c>
    </x:row>
    <x:row r="5" ht="34" customHeight="1">
      <x:c r="A5" s="2" t="n">
        <x:v>1</x:v>
      </x:c>
      <x:c r="B5" s="2" t="str">
        <x:v>東京大学</x:v>
      </x:c>
      <x:c r="C5" s="2" t="str">
        <x:v>理学系研究科</x:v>
      </x:c>
      <x:c r="D5" s="2" t="str">
        <x:v>天文学専攻</x:v>
      </x:c>
      <x:c r="E5" s="2" t="str">
        <x:v>专攻/课程</x:v>
      </x:c>
      <x:c r="F5" s="2" t="str">
        <x:v>tokyo-university/science/astron</x:v>
      </x:c>
      <x:c r="G5" s="27" t="str">
        <x:v>https://www.s.u-tokyo.ac.jp/ja/admission/master/index.html</x:v>
      </x:c>
      <x:c r="H5" s="2" t="str">
        <x:v>仅上位层级合计</x:v>
      </x:c>
      <x:c r="I5" s="2" t="str">
        <x:v>2022、2026</x:v>
      </x:c>
      <x:c r="J5" s="27" t="str">
        <x:v>大学本部表は理学系研究科合計。専攻別の同一定義時系列は今回未発見。</x:v>
      </x:c>
      <x:c r="K5" s="27" t="str">
        <x:v>https://www.u-tokyo.ac.jp/ja/admissions/adm-data/e02_01.html</x:v>
      </x:c>
      <x:c r="L5" s="44" t="n">
        <x:v>0</x:v>
      </x:c>
      <x:c r="M5" s="21" t="str">
        <x:v>2026-08-28</x:v>
      </x:c>
    </x:row>
    <x:row r="6" ht="34" customHeight="1">
      <x:c r="A6" s="2" t="n">
        <x:v>2</x:v>
      </x:c>
      <x:c r="B6" s="2" t="str">
        <x:v>東京大学</x:v>
      </x:c>
      <x:c r="C6" s="2" t="str">
        <x:v>理学系研究科</x:v>
      </x:c>
      <x:c r="D6" s="2" t="str">
        <x:v>化学専攻</x:v>
      </x:c>
      <x:c r="E6" s="2" t="str">
        <x:v>专攻/课程</x:v>
      </x:c>
      <x:c r="F6" s="2" t="str">
        <x:v>tokyo-university/science/chem</x:v>
      </x:c>
      <x:c r="G6" s="27" t="str">
        <x:v>https://www.s.u-tokyo.ac.jp/ja/admission/master/index.html</x:v>
      </x:c>
      <x:c r="H6" s="2" t="str">
        <x:v>仅上位层级合计</x:v>
      </x:c>
      <x:c r="I6" s="2" t="str">
        <x:v>2022、2026</x:v>
      </x:c>
      <x:c r="J6" s="27" t="str">
        <x:v>大学本部表は理学系研究科合計。専攻別の同一定義時系列は今回未発見。</x:v>
      </x:c>
      <x:c r="K6" s="27" t="str">
        <x:v>https://www.u-tokyo.ac.jp/ja/admissions/adm-data/e02_01.html</x:v>
      </x:c>
      <x:c r="L6" s="44" t="n">
        <x:v>0</x:v>
      </x:c>
      <x:c r="M6" s="21" t="str">
        <x:v>2026-08-28</x:v>
      </x:c>
    </x:row>
    <x:row r="7" ht="34" customHeight="1">
      <x:c r="A7" s="2" t="n">
        <x:v>3</x:v>
      </x:c>
      <x:c r="B7" s="2" t="str">
        <x:v>東京大学</x:v>
      </x:c>
      <x:c r="C7" s="2" t="str">
        <x:v>理学系研究科</x:v>
      </x:c>
      <x:c r="D7" s="2" t="str">
        <x:v>物理学専攻</x:v>
      </x:c>
      <x:c r="E7" s="2" t="str">
        <x:v>专攻/课程</x:v>
      </x:c>
      <x:c r="F7" s="2" t="str">
        <x:v>tokyo-university/science/phys</x:v>
      </x:c>
      <x:c r="G7" s="27" t="str">
        <x:v>https://www.s.u-tokyo.ac.jp/ja/admission/master/index.html</x:v>
      </x:c>
      <x:c r="H7" s="2" t="str">
        <x:v>仅上位层级合计</x:v>
      </x:c>
      <x:c r="I7" s="2" t="str">
        <x:v>2022、2026</x:v>
      </x:c>
      <x:c r="J7" s="27" t="str">
        <x:v>大学本部表は理学系研究科合計。専攻別の同一定義時系列は今回未発見。</x:v>
      </x:c>
      <x:c r="K7" s="27" t="str">
        <x:v>https://www.u-tokyo.ac.jp/ja/admissions/adm-data/e02_01.html</x:v>
      </x:c>
      <x:c r="L7" s="44" t="n">
        <x:v>0</x:v>
      </x:c>
      <x:c r="M7" s="21" t="str">
        <x:v>2026-08-28</x:v>
      </x:c>
    </x:row>
    <x:row r="8" ht="34" customHeight="1">
      <x:c r="A8" s="2" t="n">
        <x:v>4</x:v>
      </x:c>
      <x:c r="B8" s="2" t="str">
        <x:v>東京大学</x:v>
      </x:c>
      <x:c r="C8" s="2" t="str">
        <x:v>理学系研究科</x:v>
      </x:c>
      <x:c r="D8" s="2" t="str">
        <x:v>生物科学専攻</x:v>
      </x:c>
      <x:c r="E8" s="2" t="str">
        <x:v>专攻/课程</x:v>
      </x:c>
      <x:c r="F8" s="2" t="str">
        <x:v>tokyo-university/science/bio</x:v>
      </x:c>
      <x:c r="G8" s="27" t="str">
        <x:v>https://www.s.u-tokyo.ac.jp/ja/admission/master/index.html</x:v>
      </x:c>
      <x:c r="H8" s="2" t="str">
        <x:v>仅上位层级合计</x:v>
      </x:c>
      <x:c r="I8" s="2" t="str">
        <x:v>2022、2026</x:v>
      </x:c>
      <x:c r="J8" s="27" t="str">
        <x:v>大学本部表は理学系研究科合計。専攻別の同一定義時系列は今回未発見。</x:v>
      </x:c>
      <x:c r="K8" s="27" t="str">
        <x:v>https://www.u-tokyo.ac.jp/ja/admissions/adm-data/e02_01.html</x:v>
      </x:c>
      <x:c r="L8" s="44" t="n">
        <x:v>0</x:v>
      </x:c>
      <x:c r="M8" s="21" t="str">
        <x:v>2026-08-28</x:v>
      </x:c>
    </x:row>
    <x:row r="9" ht="34" customHeight="1">
      <x:c r="A9" s="2" t="n">
        <x:v>5</x:v>
      </x:c>
      <x:c r="B9" s="2" t="str">
        <x:v>東京大学</x:v>
      </x:c>
      <x:c r="C9" s="2" t="str">
        <x:v>工学系研究科</x:v>
      </x:c>
      <x:c r="D9" s="2" t="str">
        <x:v>共通</x:v>
      </x:c>
      <x:c r="E9" s="2" t="str">
        <x:v>专攻/课程</x:v>
      </x:c>
      <x:c r="F9" s="2" t="str">
        <x:v>tokyo-university/engineering/kyotsu</x:v>
      </x:c>
      <x:c r="G9" s="27" t="str">
        <x:v>https://www.t.u-tokyo.ac.jp/soe/admission/general</x:v>
      </x:c>
      <x:c r="H9" s="2" t="str">
        <x:v>仅上位层级合计</x:v>
      </x:c>
      <x:c r="I9" s="2" t="str">
        <x:v>2022、2026</x:v>
      </x:c>
      <x:c r="J9" s="27" t="str">
        <x:v>「共通入試」は独立した専攻ではないため、専攻統計へ割り当てず除外。</x:v>
      </x:c>
      <x:c r="K9" s="27" t="str">
        <x:v>https://www.i.u-tokyo.ac.jp/edu/entra/</x:v>
      </x:c>
      <x:c r="L9" s="44" t="n">
        <x:v>0</x:v>
      </x:c>
      <x:c r="M9" s="21" t="str">
        <x:v>2026-08-28</x:v>
      </x:c>
    </x:row>
    <x:row r="10" ht="34" customHeight="1">
      <x:c r="A10" s="2" t="n">
        <x:v>6</x:v>
      </x:c>
      <x:c r="B10" s="2" t="str">
        <x:v>東京大学</x:v>
      </x:c>
      <x:c r="C10" s="2" t="str">
        <x:v>工学系研究科</x:v>
      </x:c>
      <x:c r="D10" s="2" t="str">
        <x:v>電気系工学専攻</x:v>
      </x:c>
      <x:c r="E10" s="2" t="str">
        <x:v>专攻/课程</x:v>
      </x:c>
      <x:c r="F10" s="2" t="str">
        <x:v>tokyo-university/engineering/eeis</x:v>
      </x:c>
      <x:c r="G10" s="27" t="str">
        <x:v>https://www.t.u-tokyo.ac.jp/soe/admission/general</x:v>
      </x:c>
      <x:c r="H10" s="2" t="str">
        <x:v>精确到专攻/项目</x:v>
      </x:c>
      <x:c r="I10" s="2" t="str">
        <x:v>2022–2026</x:v>
      </x:c>
      <x:c r="J10" s="27" t="str">
        <x:v>年度別公式結果PDFに専攻別募集人員・志願者・合格者あり。受験者・入学者は未掲載。</x:v>
      </x:c>
      <x:c r="K10" s="27" t="str">
        <x:v>https://www.t.u-tokyo.ac.jp/hubfs/admission/2026/2026_kekka_J.pdf</x:v>
      </x:c>
      <x:c r="L10" s="44" t="n">
        <x:v>5</x:v>
      </x:c>
      <x:c r="M10" s="21" t="str">
        <x:v>2026-08-28</x:v>
      </x:c>
    </x:row>
    <x:row r="11" ht="34" customHeight="1">
      <x:c r="A11" s="2" t="n">
        <x:v>7</x:v>
      </x:c>
      <x:c r="B11" s="2" t="str">
        <x:v>東京大学</x:v>
      </x:c>
      <x:c r="C11" s="2" t="str">
        <x:v>工学系研究科</x:v>
      </x:c>
      <x:c r="D11" s="2" t="str">
        <x:v>技術経営戦略学専攻</x:v>
      </x:c>
      <x:c r="E11" s="2" t="str">
        <x:v>专攻/课程</x:v>
      </x:c>
      <x:c r="F11" s="2" t="str">
        <x:v>tokyo-university/engineering/tmi</x:v>
      </x:c>
      <x:c r="G11" s="27" t="str">
        <x:v>https://www.t.u-tokyo.ac.jp/soe/admission/general</x:v>
      </x:c>
      <x:c r="H11" s="2" t="str">
        <x:v>精确到专攻/项目</x:v>
      </x:c>
      <x:c r="I11" s="2" t="str">
        <x:v>2022–2026</x:v>
      </x:c>
      <x:c r="J11" s="27" t="str">
        <x:v>年度別公式結果PDFに専攻別募集人員・志願者・合格者あり。受験者・入学者は未掲載。</x:v>
      </x:c>
      <x:c r="K11" s="27" t="str">
        <x:v>https://www.t.u-tokyo.ac.jp/hubfs/admission/2026/2026_kekka_J.pdf</x:v>
      </x:c>
      <x:c r="L11" s="44" t="n">
        <x:v>5</x:v>
      </x:c>
      <x:c r="M11" s="21" t="str">
        <x:v>2026-08-28</x:v>
      </x:c>
    </x:row>
    <x:row r="12" ht="34" customHeight="1">
      <x:c r="A12" s="2" t="n">
        <x:v>8</x:v>
      </x:c>
      <x:c r="B12" s="2" t="str">
        <x:v>東京大学</x:v>
      </x:c>
      <x:c r="C12" s="2" t="str">
        <x:v>工学系研究科</x:v>
      </x:c>
      <x:c r="D12" s="2" t="str">
        <x:v>物理工学専攻</x:v>
      </x:c>
      <x:c r="E12" s="2" t="str">
        <x:v>专攻/课程</x:v>
      </x:c>
      <x:c r="F12" s="2" t="str">
        <x:v>tokyo-university/engineering/ap</x:v>
      </x:c>
      <x:c r="G12" s="27" t="str">
        <x:v>https://www.t.u-tokyo.ac.jp/soe/admission/general</x:v>
      </x:c>
      <x:c r="H12" s="2" t="str">
        <x:v>精确到专攻/项目</x:v>
      </x:c>
      <x:c r="I12" s="2" t="str">
        <x:v>2022–2026</x:v>
      </x:c>
      <x:c r="J12" s="27" t="str">
        <x:v>年度別公式結果PDFに専攻別募集人員・志願者・合格者あり。受験者・入学者は未掲載。</x:v>
      </x:c>
      <x:c r="K12" s="27" t="str">
        <x:v>https://www.t.u-tokyo.ac.jp/hubfs/admission/2026/2026_kekka_J.pdf</x:v>
      </x:c>
      <x:c r="L12" s="44" t="n">
        <x:v>5</x:v>
      </x:c>
      <x:c r="M12" s="21" t="str">
        <x:v>2026-08-28</x:v>
      </x:c>
    </x:row>
    <x:row r="13" ht="34" customHeight="1">
      <x:c r="A13" s="2" t="n">
        <x:v>9</x:v>
      </x:c>
      <x:c r="B13" s="2" t="str">
        <x:v>東京大学</x:v>
      </x:c>
      <x:c r="C13" s="2" t="str">
        <x:v>工学系研究科</x:v>
      </x:c>
      <x:c r="D13" s="2" t="str">
        <x:v>機械工学専攻</x:v>
      </x:c>
      <x:c r="E13" s="2" t="str">
        <x:v>专攻/课程</x:v>
      </x:c>
      <x:c r="F13" s="2" t="str">
        <x:v>tokyo-university/engineering/mech</x:v>
      </x:c>
      <x:c r="G13" s="27" t="str">
        <x:v>https://www.t.u-tokyo.ac.jp/soe/admission/general</x:v>
      </x:c>
      <x:c r="H13" s="2" t="str">
        <x:v>精确到专攻/项目</x:v>
      </x:c>
      <x:c r="I13" s="2" t="str">
        <x:v>2022–2026</x:v>
      </x:c>
      <x:c r="J13" s="27" t="str">
        <x:v>年度別公式結果PDFに専攻別募集人員・志願者・合格者あり。受験者・入学者は未掲載。</x:v>
      </x:c>
      <x:c r="K13" s="27" t="str">
        <x:v>https://www.t.u-tokyo.ac.jp/hubfs/admission/2026/2026_kekka_J.pdf</x:v>
      </x:c>
      <x:c r="L13" s="44" t="n">
        <x:v>5</x:v>
      </x:c>
      <x:c r="M13" s="21" t="str">
        <x:v>2026-08-28</x:v>
      </x:c>
    </x:row>
    <x:row r="14" ht="34" customHeight="1">
      <x:c r="A14" s="2" t="n">
        <x:v>10</x:v>
      </x:c>
      <x:c r="B14" s="2" t="str">
        <x:v>東京大学</x:v>
      </x:c>
      <x:c r="C14" s="2" t="str">
        <x:v>工学系研究科</x:v>
      </x:c>
      <x:c r="D14" s="2" t="str">
        <x:v>都市工学専攻</x:v>
      </x:c>
      <x:c r="E14" s="2" t="str">
        <x:v>专攻/课程</x:v>
      </x:c>
      <x:c r="F14" s="2" t="str">
        <x:v>tokyo-university/engineering/urban</x:v>
      </x:c>
      <x:c r="G14" s="27" t="str">
        <x:v>https://www.t.u-tokyo.ac.jp/soe/admission/general</x:v>
      </x:c>
      <x:c r="H14" s="2" t="str">
        <x:v>精确到专攻/项目</x:v>
      </x:c>
      <x:c r="I14" s="2" t="str">
        <x:v>2022–2026</x:v>
      </x:c>
      <x:c r="J14" s="27" t="str">
        <x:v>年度別公式結果PDFに専攻別募集人員・志願者・合格者あり。受験者・入学者は未掲載。</x:v>
      </x:c>
      <x:c r="K14" s="27" t="str">
        <x:v>https://www.t.u-tokyo.ac.jp/hubfs/admission/2026/2026_kekka_J.pdf</x:v>
      </x:c>
      <x:c r="L14" s="44" t="n">
        <x:v>5</x:v>
      </x:c>
      <x:c r="M14" s="21" t="str">
        <x:v>2026-08-28</x:v>
      </x:c>
    </x:row>
    <x:row r="15" ht="34" customHeight="1">
      <x:c r="A15" s="2" t="n">
        <x:v>11</x:v>
      </x:c>
      <x:c r="B15" s="2" t="str">
        <x:v>東京大学</x:v>
      </x:c>
      <x:c r="C15" s="2" t="str">
        <x:v>情報理工学系研究科</x:v>
      </x:c>
      <x:c r="D15" s="2" t="str">
        <x:v>共通科目</x:v>
      </x:c>
      <x:c r="E15" s="2" t="str">
        <x:v>专攻/课程</x:v>
      </x:c>
      <x:c r="F15" s="2" t="str">
        <x:v>tokyo-university/IST/kyotsu</x:v>
      </x:c>
      <x:c r="G15" s="27" t="str">
        <x:v>https://www.i.u-tokyo.ac.jp/edu/entra/</x:v>
      </x:c>
      <x:c r="H15" s="2" t="str">
        <x:v>未找到公开统计</x:v>
      </x:c>
      <x:c r="I15" s="2" t="str"/>
      <x:c r="J15" s="27" t="str">
        <x:v>本次核查未发现可验证的公开数值表；保留空白。</x:v>
      </x:c>
      <x:c r="K15" s="27" t="str"/>
      <x:c r="L15" s="44" t="n">
        <x:v>0</x:v>
      </x:c>
      <x:c r="M15" s="21" t="str">
        <x:v>2026-08-28</x:v>
      </x:c>
    </x:row>
    <x:row r="16" ht="34" customHeight="1">
      <x:c r="A16" s="2" t="n">
        <x:v>12</x:v>
      </x:c>
      <x:c r="B16" s="2" t="str">
        <x:v>東京大学</x:v>
      </x:c>
      <x:c r="C16" s="2" t="str">
        <x:v>情報理工学系研究科</x:v>
      </x:c>
      <x:c r="D16" s="2" t="str">
        <x:v>創造情報学専攻</x:v>
      </x:c>
      <x:c r="E16" s="2" t="str">
        <x:v>专攻/课程</x:v>
      </x:c>
      <x:c r="F16" s="2" t="str">
        <x:v>tokyo-university/IST/ci</x:v>
      </x:c>
      <x:c r="G16" s="27" t="str">
        <x:v>https://www.i.u-tokyo.ac.jp/edu/entra/</x:v>
      </x:c>
      <x:c r="H16" s="2" t="str">
        <x:v>精确到专攻/项目</x:v>
      </x:c>
      <x:c r="I16" s="2" t="str">
        <x:v>2022–2026</x:v>
      </x:c>
      <x:c r="J16" s="27" t="str">
        <x:v>公式PDFに専攻別の募集人員・志願者・合格者・入学者あり。受験者は未掲載。</x:v>
      </x:c>
      <x:c r="K16" s="27" t="str">
        <x:v>https://www.i.u-tokyo.ac.jp/edu/entra/ay2026data_j.pdf</x:v>
      </x:c>
      <x:c r="L16" s="44" t="n">
        <x:v>5</x:v>
      </x:c>
      <x:c r="M16" s="21" t="str">
        <x:v>2026-08-28</x:v>
      </x:c>
    </x:row>
    <x:row r="17" ht="34" customHeight="1">
      <x:c r="A17" s="2" t="n">
        <x:v>13</x:v>
      </x:c>
      <x:c r="B17" s="2" t="str">
        <x:v>東京大学</x:v>
      </x:c>
      <x:c r="C17" s="2" t="str">
        <x:v>情報理工学系研究科</x:v>
      </x:c>
      <x:c r="D17" s="2" t="str">
        <x:v>コンピュータ科学専攻</x:v>
      </x:c>
      <x:c r="E17" s="2" t="str">
        <x:v>专攻/课程</x:v>
      </x:c>
      <x:c r="F17" s="2" t="str">
        <x:v>tokyo-university/IST/cs</x:v>
      </x:c>
      <x:c r="G17" s="27" t="str">
        <x:v>https://www.i.u-tokyo.ac.jp/edu/entra/</x:v>
      </x:c>
      <x:c r="H17" s="2" t="str">
        <x:v>精确到专攻/项目</x:v>
      </x:c>
      <x:c r="I17" s="2" t="str">
        <x:v>2022–2026</x:v>
      </x:c>
      <x:c r="J17" s="27" t="str">
        <x:v>公式PDFに専攻別の募集人員・志願者・合格者・入学者あり。受験者は未掲載。</x:v>
      </x:c>
      <x:c r="K17" s="27" t="str">
        <x:v>https://www.i.u-tokyo.ac.jp/edu/entra/ay2026data_j.pdf</x:v>
      </x:c>
      <x:c r="L17" s="44" t="n">
        <x:v>5</x:v>
      </x:c>
      <x:c r="M17" s="21" t="str">
        <x:v>2026-08-28</x:v>
      </x:c>
    </x:row>
    <x:row r="18" ht="34" customHeight="1">
      <x:c r="A18" s="2" t="n">
        <x:v>14</x:v>
      </x:c>
      <x:c r="B18" s="2" t="str">
        <x:v>東京大学</x:v>
      </x:c>
      <x:c r="C18" s="2" t="str">
        <x:v>情報理工学系研究科</x:v>
      </x:c>
      <x:c r="D18" s="2" t="str">
        <x:v>電子情報学専攻</x:v>
      </x:c>
      <x:c r="E18" s="2" t="str">
        <x:v>专攻/课程</x:v>
      </x:c>
      <x:c r="F18" s="2" t="str">
        <x:v>tokyo-university/IST/denshi</x:v>
      </x:c>
      <x:c r="G18" s="27" t="str">
        <x:v>https://www.i.u-tokyo.ac.jp/edu/entra/</x:v>
      </x:c>
      <x:c r="H18" s="2" t="str">
        <x:v>精确到专攻/项目</x:v>
      </x:c>
      <x:c r="I18" s="2" t="str">
        <x:v>2022–2026</x:v>
      </x:c>
      <x:c r="J18" s="27" t="str">
        <x:v>公式PDFに専攻別の募集人員・志願者・合格者・入学者あり。受験者は未掲載。</x:v>
      </x:c>
      <x:c r="K18" s="27" t="str">
        <x:v>https://www.i.u-tokyo.ac.jp/edu/entra/ay2026data_j.pdf</x:v>
      </x:c>
      <x:c r="L18" s="44" t="n">
        <x:v>5</x:v>
      </x:c>
      <x:c r="M18" s="21" t="str">
        <x:v>2026-08-28</x:v>
      </x:c>
    </x:row>
    <x:row r="19" ht="34" customHeight="1">
      <x:c r="A19" s="2" t="n">
        <x:v>15</x:v>
      </x:c>
      <x:c r="B19" s="2" t="str">
        <x:v>東京大学</x:v>
      </x:c>
      <x:c r="C19" s="2" t="str">
        <x:v>情報理工学系研究科</x:v>
      </x:c>
      <x:c r="D19" s="2" t="str">
        <x:v>数理情報学</x:v>
      </x:c>
      <x:c r="E19" s="2" t="str">
        <x:v>专攻/课程</x:v>
      </x:c>
      <x:c r="F19" s="2" t="str">
        <x:v>tokyo-university/IST/suuri</x:v>
      </x:c>
      <x:c r="G19" s="27" t="str">
        <x:v>https://www.i.u-tokyo.ac.jp/edu/entra/</x:v>
      </x:c>
      <x:c r="H19" s="2" t="str">
        <x:v>精确到专攻/项目</x:v>
      </x:c>
      <x:c r="I19" s="2" t="str">
        <x:v>2022–2026</x:v>
      </x:c>
      <x:c r="J19" s="27" t="str">
        <x:v>公式PDFに専攻別の募集人員・志願者・合格者・入学者あり。受験者は未掲載。</x:v>
      </x:c>
      <x:c r="K19" s="27" t="str">
        <x:v>https://www.i.u-tokyo.ac.jp/edu/entra/ay2026data_j.pdf</x:v>
      </x:c>
      <x:c r="L19" s="44" t="n">
        <x:v>5</x:v>
      </x:c>
      <x:c r="M19" s="21" t="str">
        <x:v>2026-08-28</x:v>
      </x:c>
    </x:row>
    <x:row r="20" ht="34" customHeight="1">
      <x:c r="A20" s="2" t="n">
        <x:v>16</x:v>
      </x:c>
      <x:c r="B20" s="2" t="str">
        <x:v>東京大学</x:v>
      </x:c>
      <x:c r="C20" s="2" t="str">
        <x:v>情報理工学系研究科</x:v>
      </x:c>
      <x:c r="D20" s="2" t="str">
        <x:v>知能機械情報学専攻</x:v>
      </x:c>
      <x:c r="E20" s="2" t="str">
        <x:v>专攻/课程</x:v>
      </x:c>
      <x:c r="F20" s="2" t="str">
        <x:v>tokyo-university/IST/imi</x:v>
      </x:c>
      <x:c r="G20" s="27" t="str">
        <x:v>https://www.i.u-tokyo.ac.jp/edu/entra/</x:v>
      </x:c>
      <x:c r="H20" s="2" t="str">
        <x:v>精确到专攻/项目</x:v>
      </x:c>
      <x:c r="I20" s="2" t="str">
        <x:v>2022–2026</x:v>
      </x:c>
      <x:c r="J20" s="27" t="str">
        <x:v>公式PDFに専攻別の募集人員・志願者・合格者・入学者あり。受験者は未掲載。</x:v>
      </x:c>
      <x:c r="K20" s="27" t="str">
        <x:v>https://www.i.u-tokyo.ac.jp/edu/entra/ay2026data_j.pdf</x:v>
      </x:c>
      <x:c r="L20" s="44" t="n">
        <x:v>5</x:v>
      </x:c>
      <x:c r="M20" s="21" t="str">
        <x:v>2026-08-28</x:v>
      </x:c>
    </x:row>
    <x:row r="21" ht="34" customHeight="1">
      <x:c r="A21" s="2" t="n">
        <x:v>17</x:v>
      </x:c>
      <x:c r="B21" s="2" t="str">
        <x:v>東京大学</x:v>
      </x:c>
      <x:c r="C21" s="2" t="str">
        <x:v>新領域創成科学研究科</x:v>
      </x:c>
      <x:c r="D21" s="2" t="str">
        <x:v>メディカル情報生命専攻</x:v>
      </x:c>
      <x:c r="E21" s="2" t="str">
        <x:v>专攻/课程</x:v>
      </x:c>
      <x:c r="F21" s="2" t="str">
        <x:v>tokyo-university/frontier_sciences/cbms</x:v>
      </x:c>
      <x:c r="G21" s="27" t="str">
        <x:v>https://www.k.u-tokyo.ac.jp/exam/info/</x:v>
      </x:c>
      <x:c r="H21" s="2" t="str">
        <x:v>精确到专攻/项目</x:v>
      </x:c>
      <x:c r="I21" s="2" t="str">
        <x:v>2022–2025</x:v>
      </x:c>
      <x:c r="J21" s="27" t="str">
        <x:v>公式PDFに専攻別募集人員・志願者・合格者あり。受験者・入学者は未掲載。</x:v>
      </x:c>
      <x:c r="K21" s="27" t="str">
        <x:v>https://www.k.u-tokyo.ac.jp/assets/files/2026result_mc.pdf</x:v>
      </x:c>
      <x:c r="L21" s="44" t="n">
        <x:v>4</x:v>
      </x:c>
      <x:c r="M21" s="21" t="str">
        <x:v>2026-08-28</x:v>
      </x:c>
    </x:row>
    <x:row r="22" ht="34" customHeight="1">
      <x:c r="A22" s="2" t="n">
        <x:v>18</x:v>
      </x:c>
      <x:c r="B22" s="2" t="str">
        <x:v>東京大学</x:v>
      </x:c>
      <x:c r="C22" s="2" t="str">
        <x:v>新領域創成科学研究科</x:v>
      </x:c>
      <x:c r="D22" s="2" t="str">
        <x:v>複雑理工学専攻</x:v>
      </x:c>
      <x:c r="E22" s="2" t="str">
        <x:v>专攻/课程</x:v>
      </x:c>
      <x:c r="F22" s="2" t="str">
        <x:v>tokyo-university/frontier_sciences/cse</x:v>
      </x:c>
      <x:c r="G22" s="27" t="str">
        <x:v>https://www.k.u-tokyo.ac.jp/exam/info/</x:v>
      </x:c>
      <x:c r="H22" s="2" t="str">
        <x:v>精确到专攻/项目</x:v>
      </x:c>
      <x:c r="I22" s="2" t="str">
        <x:v>2022–2025</x:v>
      </x:c>
      <x:c r="J22" s="27" t="str">
        <x:v>公式PDFに専攻別募集人員・志願者・合格者あり。受験者・入学者は未掲載。</x:v>
      </x:c>
      <x:c r="K22" s="27" t="str">
        <x:v>https://www.k.u-tokyo.ac.jp/assets/files/2026result_mc.pdf</x:v>
      </x:c>
      <x:c r="L22" s="44" t="n">
        <x:v>4</x:v>
      </x:c>
      <x:c r="M22" s="21" t="str">
        <x:v>2026-08-28</x:v>
      </x:c>
    </x:row>
    <x:row r="23" ht="34" customHeight="1">
      <x:c r="A23" s="2" t="n">
        <x:v>19</x:v>
      </x:c>
      <x:c r="B23" s="2" t="str">
        <x:v>東京大学</x:v>
      </x:c>
      <x:c r="C23" s="2" t="str">
        <x:v>新領域創成科学研究科</x:v>
      </x:c>
      <x:c r="D23" s="2" t="str">
        <x:v>物質系専攻</x:v>
      </x:c>
      <x:c r="E23" s="2" t="str">
        <x:v>专攻/课程</x:v>
      </x:c>
      <x:c r="F23" s="2" t="str">
        <x:v>tokyo-university/frontier_sciences/materials</x:v>
      </x:c>
      <x:c r="G23" s="27" t="str">
        <x:v>https://www.k.u-tokyo.ac.jp/exam/info/</x:v>
      </x:c>
      <x:c r="H23" s="2" t="str">
        <x:v>精确到专攻/项目</x:v>
      </x:c>
      <x:c r="I23" s="2" t="str">
        <x:v>2022–2025</x:v>
      </x:c>
      <x:c r="J23" s="27" t="str">
        <x:v>公式PDFに専攻別募集人員・志願者・合格者あり。受験者・入学者は未掲載。</x:v>
      </x:c>
      <x:c r="K23" s="27" t="str">
        <x:v>https://www.k.u-tokyo.ac.jp/assets/files/2026result_mc.pdf</x:v>
      </x:c>
      <x:c r="L23" s="44" t="n">
        <x:v>4</x:v>
      </x:c>
      <x:c r="M23" s="21" t="str">
        <x:v>2026-08-28</x:v>
      </x:c>
    </x:row>
    <x:row r="24" ht="34" customHeight="1">
      <x:c r="A24" s="2" t="n">
        <x:v>20</x:v>
      </x:c>
      <x:c r="B24" s="2" t="str">
        <x:v>東京大学</x:v>
      </x:c>
      <x:c r="C24" s="2" t="str">
        <x:v>新領域創成科学研究科</x:v>
      </x:c>
      <x:c r="D24" s="2" t="str">
        <x:v>海洋技術環境学専攻</x:v>
      </x:c>
      <x:c r="E24" s="2" t="str">
        <x:v>专攻/课程</x:v>
      </x:c>
      <x:c r="F24" s="2" t="str">
        <x:v>tokyo-university/frontier_sciences/otpe</x:v>
      </x:c>
      <x:c r="G24" s="27" t="str">
        <x:v>https://www.k.u-tokyo.ac.jp/exam/info/</x:v>
      </x:c>
      <x:c r="H24" s="2" t="str">
        <x:v>精确到专攻/项目</x:v>
      </x:c>
      <x:c r="I24" s="2" t="str">
        <x:v>2022–2025</x:v>
      </x:c>
      <x:c r="J24" s="27" t="str">
        <x:v>公式PDFに専攻別募集人員・志願者・合格者あり。受験者・入学者は未掲載。</x:v>
      </x:c>
      <x:c r="K24" s="27" t="str">
        <x:v>https://www.k.u-tokyo.ac.jp/assets/files/2026result_mc.pdf</x:v>
      </x:c>
      <x:c r="L24" s="44" t="n">
        <x:v>4</x:v>
      </x:c>
      <x:c r="M24" s="21" t="str">
        <x:v>2026-08-28</x:v>
      </x:c>
    </x:row>
    <x:row r="25" ht="34" customHeight="1">
      <x:c r="A25" s="2" t="n">
        <x:v>21</x:v>
      </x:c>
      <x:c r="B25" s="2" t="str">
        <x:v>東京大学</x:v>
      </x:c>
      <x:c r="C25" s="2" t="str">
        <x:v>新領域創成科学研究科</x:v>
      </x:c>
      <x:c r="D25" s="2" t="str">
        <x:v>人間環境学専攻</x:v>
      </x:c>
      <x:c r="E25" s="2" t="str">
        <x:v>专攻/课程</x:v>
      </x:c>
      <x:c r="F25" s="2" t="str">
        <x:v>tokyo-university/frontier_sciences/hes</x:v>
      </x:c>
      <x:c r="G25" s="27" t="str">
        <x:v>https://www.k.u-tokyo.ac.jp/exam/info/</x:v>
      </x:c>
      <x:c r="H25" s="2" t="str">
        <x:v>精确到专攻/项目</x:v>
      </x:c>
      <x:c r="I25" s="2" t="str">
        <x:v>2022–2025</x:v>
      </x:c>
      <x:c r="J25" s="27" t="str">
        <x:v>公式PDFに専攻別募集人員・志願者・合格者あり。受験者・入学者は未掲載。</x:v>
      </x:c>
      <x:c r="K25" s="27" t="str">
        <x:v>https://www.k.u-tokyo.ac.jp/assets/files/2026result_mc.pdf</x:v>
      </x:c>
      <x:c r="L25" s="44" t="n">
        <x:v>4</x:v>
      </x:c>
      <x:c r="M25" s="21" t="str">
        <x:v>2026-08-28</x:v>
      </x:c>
    </x:row>
    <x:row r="26" ht="34" customHeight="1">
      <x:c r="A26" s="2" t="n">
        <x:v>22</x:v>
      </x:c>
      <x:c r="B26" s="2" t="str">
        <x:v>東京大学</x:v>
      </x:c>
      <x:c r="C26" s="2" t="str">
        <x:v>総合文化研究科</x:v>
      </x:c>
      <x:c r="D26" s="2" t="str">
        <x:v>広域科学専攻</x:v>
      </x:c>
      <x:c r="E26" s="2" t="str">
        <x:v>专攻/课程</x:v>
      </x:c>
      <x:c r="F26" s="2" t="str">
        <x:v>tokyo-university/art_and_sciences/system</x:v>
      </x:c>
      <x:c r="G26" s="27" t="str">
        <x:v>https://www.c.u-tokyo.ac.jp/graduate/admission/master-doctor/index.html</x:v>
      </x:c>
      <x:c r="H26" s="2" t="str">
        <x:v>未找到公开统计</x:v>
      </x:c>
      <x:c r="I26" s="2" t="str">
        <x:v>2022、2026</x:v>
      </x:c>
      <x:c r="J26" s="27" t="str">
        <x:v>公式入試案内は確認したが、系別の志願者・合格者・入学者年次数表は未発見。</x:v>
      </x:c>
      <x:c r="K26" s="27" t="str">
        <x:v>https://system.c.u-tokyo.ac.jp/p-graduate/admission.html</x:v>
      </x:c>
      <x:c r="L26" s="44" t="n">
        <x:v>0</x:v>
      </x:c>
      <x:c r="M26" s="21" t="str">
        <x:v>2026-08-28</x:v>
      </x:c>
    </x:row>
    <x:row r="27" ht="34" customHeight="1">
      <x:c r="A27" s="2" t="n">
        <x:v>23</x:v>
      </x:c>
      <x:c r="B27" s="2" t="str">
        <x:v>東京大学</x:v>
      </x:c>
      <x:c r="C27" s="2" t="str">
        <x:v>学際情報学府</x:v>
      </x:c>
      <x:c r="D27" s="2" t="str">
        <x:v>学際情報学専攻 生物統計情報学コース</x:v>
      </x:c>
      <x:c r="E27" s="2" t="str">
        <x:v>专攻/课程</x:v>
      </x:c>
      <x:c r="F27" s="2" t="str">
        <x:v>tokyo-university/III/biostat_bioinfo</x:v>
      </x:c>
      <x:c r="G27" s="27" t="str">
        <x:v>https://www.iii.u-tokyo.ac.jp/admissions</x:v>
      </x:c>
      <x:c r="H27" s="2" t="str">
        <x:v>未找到公开统计</x:v>
      </x:c>
      <x:c r="I27" s="2" t="str">
        <x:v>2022、2026</x:v>
      </x:c>
      <x:c r="J27" s="27" t="str">
        <x:v>公式募集・合格発表ページを確認したが、コース別の年次数表は未発見。</x:v>
      </x:c>
      <x:c r="K27" s="27" t="str">
        <x:v>https://www.iii.u-tokyo.ac.jp/admissions</x:v>
      </x:c>
      <x:c r="L27" s="44" t="n">
        <x:v>0</x:v>
      </x:c>
      <x:c r="M27" s="21" t="str">
        <x:v>2026-08-28</x:v>
      </x:c>
    </x:row>
    <x:row r="28" ht="34" customHeight="1">
      <x:c r="A28" s="2" t="n">
        <x:v>24</x:v>
      </x:c>
      <x:c r="B28" s="2" t="str">
        <x:v>東京大学</x:v>
      </x:c>
      <x:c r="C28" s="2" t="str">
        <x:v>学際情報学府</x:v>
      </x:c>
      <x:c r="D28" s="2" t="str">
        <x:v>学際情報学専攻 総合分析情報学コース</x:v>
      </x:c>
      <x:c r="E28" s="2" t="str">
        <x:v>专攻/课程</x:v>
      </x:c>
      <x:c r="F28" s="2" t="str">
        <x:v>tokyo-university/III/applied_computer_science</x:v>
      </x:c>
      <x:c r="G28" s="27" t="str">
        <x:v>https://www.iii.u-tokyo.ac.jp/admissions</x:v>
      </x:c>
      <x:c r="H28" s="2" t="str">
        <x:v>未找到公开统计</x:v>
      </x:c>
      <x:c r="I28" s="2" t="str">
        <x:v>2022、2026</x:v>
      </x:c>
      <x:c r="J28" s="27" t="str">
        <x:v>公式募集・合格発表ページを確認したが、コース別の年次数表は未発見。</x:v>
      </x:c>
      <x:c r="K28" s="27" t="str">
        <x:v>https://www.iii.u-tokyo.ac.jp/admissions</x:v>
      </x:c>
      <x:c r="L28" s="44" t="n">
        <x:v>0</x:v>
      </x:c>
      <x:c r="M28" s="21" t="str">
        <x:v>2026-08-28</x:v>
      </x:c>
    </x:row>
    <x:row r="29" ht="34" customHeight="1">
      <x:c r="A29" s="2" t="n">
        <x:v>25</x:v>
      </x:c>
      <x:c r="B29" s="2" t="str">
        <x:v>東京大学</x:v>
      </x:c>
      <x:c r="C29" s="2" t="str">
        <x:v>数理科学研究科</x:v>
      </x:c>
      <x:c r="D29" s="2" t="str">
        <x:v>数理科学専攻</x:v>
      </x:c>
      <x:c r="E29" s="2" t="str">
        <x:v>专攻/课程</x:v>
      </x:c>
      <x:c r="F29" s="2" t="str">
        <x:v>tokyo-university/mathematical_sciences/ms</x:v>
      </x:c>
      <x:c r="G29" s="27" t="str">
        <x:v>https://www.ms.u-tokyo.ac.jp/kyoumu/examination.html</x:v>
      </x:c>
      <x:c r="H29" s="2" t="str">
        <x:v>仅上位层级合计</x:v>
      </x:c>
      <x:c r="I29" s="2" t="str">
        <x:v>2022、2026</x:v>
      </x:c>
      <x:c r="J29" s="27" t="str">
        <x:v>大学本部の研究科別入学状況はあるが、専攻単位へ分解できないため未転記。</x:v>
      </x:c>
      <x:c r="K29" s="27" t="str">
        <x:v>https://www.u-tokyo.ac.jp/ja/admissions/adm-data/e02_01.html</x:v>
      </x:c>
      <x:c r="L29" s="44" t="n">
        <x:v>0</x:v>
      </x:c>
      <x:c r="M29" s="21" t="str">
        <x:v>2026-08-28</x:v>
      </x:c>
    </x:row>
    <x:row r="30" ht="34" customHeight="1">
      <x:c r="A30" s="2" t="n">
        <x:v>26</x:v>
      </x:c>
      <x:c r="B30" s="2" t="str">
        <x:v>京都大学</x:v>
      </x:c>
      <x:c r="C30" s="2" t="str">
        <x:v>情報学研究科</x:v>
      </x:c>
      <x:c r="D30" s="2" t="str">
        <x:v>数理工学専攻</x:v>
      </x:c>
      <x:c r="E30" s="2" t="str">
        <x:v>专攻/课程</x:v>
      </x:c>
      <x:c r="F30" s="2" t="str">
        <x:v>kyoto-university/informatics/amp</x:v>
      </x:c>
      <x:c r="G30" s="27" t="str">
        <x:v>https://www.i.kyoto-u.ac.jp/admission/</x:v>
      </x:c>
      <x:c r="H30" s="2" t="str">
        <x:v>精确到专攻/项目</x:v>
      </x:c>
      <x:c r="I30" s="2" t="str">
        <x:v>2022、2023、2025、2026</x:v>
      </x:c>
      <x:c r="J30" s="27" t="str">
        <x:v>2022-2023はコース別入学者、2025-2026は一部日程の合格者、2026は募集人員を収録。志願者の過去年次数は公式ページで未発見。</x:v>
      </x:c>
      <x:c r="K30" s="27" t="str">
        <x:v>https://www.i.kyoto-u.ac.jp/admission/data/</x:v>
      </x:c>
      <x:c r="L30" s="44" t="n">
        <x:v>6</x:v>
      </x:c>
      <x:c r="M30" s="21" t="str">
        <x:v>2026-08-28</x:v>
      </x:c>
    </x:row>
    <x:row r="31" ht="34" customHeight="1">
      <x:c r="A31" s="2" t="n">
        <x:v>27</x:v>
      </x:c>
      <x:c r="B31" s="2" t="str">
        <x:v>京都大学</x:v>
      </x:c>
      <x:c r="C31" s="2" t="str">
        <x:v>情報学研究科</x:v>
      </x:c>
      <x:c r="D31" s="2" t="str">
        <x:v>先端数理科学専攻</x:v>
      </x:c>
      <x:c r="E31" s="2" t="str">
        <x:v>专攻/课程</x:v>
      </x:c>
      <x:c r="F31" s="2" t="str">
        <x:v>kyoto-university/informatics/ams</x:v>
      </x:c>
      <x:c r="G31" s="27" t="str">
        <x:v>https://www.i.kyoto-u.ac.jp/admission/</x:v>
      </x:c>
      <x:c r="H31" s="2" t="str">
        <x:v>精确到专攻/项目</x:v>
      </x:c>
      <x:c r="I31" s="2" t="str">
        <x:v>2022、2023、2025、2026</x:v>
      </x:c>
      <x:c r="J31" s="27" t="str">
        <x:v>2022-2023はコース別入学者、2025-2026は一部日程の合格者、2026は募集人員を収録。志願者の過去年次数は公式ページで未発見。</x:v>
      </x:c>
      <x:c r="K31" s="27" t="str">
        <x:v>https://www.i.kyoto-u.ac.jp/admission/data/</x:v>
      </x:c>
      <x:c r="L31" s="44" t="n">
        <x:v>4</x:v>
      </x:c>
      <x:c r="M31" s="21" t="str">
        <x:v>2026-08-28</x:v>
      </x:c>
    </x:row>
    <x:row r="32" ht="34" customHeight="1">
      <x:c r="A32" s="2" t="n">
        <x:v>28</x:v>
      </x:c>
      <x:c r="B32" s="2" t="str">
        <x:v>京都大学</x:v>
      </x:c>
      <x:c r="C32" s="2" t="str">
        <x:v>情報学研究科</x:v>
      </x:c>
      <x:c r="D32" s="2" t="str">
        <x:v>通信情報システム専攻</x:v>
      </x:c>
      <x:c r="E32" s="2" t="str">
        <x:v>专攻/课程</x:v>
      </x:c>
      <x:c r="F32" s="2" t="str">
        <x:v>kyoto-university/informatics/cce</x:v>
      </x:c>
      <x:c r="G32" s="27" t="str">
        <x:v>https://www.i.kyoto-u.ac.jp/admission/</x:v>
      </x:c>
      <x:c r="H32" s="2" t="str">
        <x:v>精确到专攻/项目</x:v>
      </x:c>
      <x:c r="I32" s="2" t="str">
        <x:v>2022、2023、2025、2026</x:v>
      </x:c>
      <x:c r="J32" s="27" t="str">
        <x:v>2022-2023はコース別入学者、2025-2026は一部日程の合格者、2026は募集人員を収録。志願者の過去年次数は公式ページで未発見。</x:v>
      </x:c>
      <x:c r="K32" s="27" t="str">
        <x:v>https://www.i.kyoto-u.ac.jp/admission/data/</x:v>
      </x:c>
      <x:c r="L32" s="44" t="n">
        <x:v>6</x:v>
      </x:c>
      <x:c r="M32" s="21" t="str">
        <x:v>2026-08-28</x:v>
      </x:c>
    </x:row>
    <x:row r="33" ht="34" customHeight="1">
      <x:c r="A33" s="2" t="n">
        <x:v>29</x:v>
      </x:c>
      <x:c r="B33" s="2" t="str">
        <x:v>京都大学</x:v>
      </x:c>
      <x:c r="C33" s="2" t="str">
        <x:v>情報学研究科</x:v>
      </x:c>
      <x:c r="D33" s="2" t="str">
        <x:v>知能情報学専攻</x:v>
      </x:c>
      <x:c r="E33" s="2" t="str">
        <x:v>专攻/课程</x:v>
      </x:c>
      <x:c r="F33" s="2" t="str">
        <x:v>kyoto-university/informatics/ist</x:v>
      </x:c>
      <x:c r="G33" s="27" t="str">
        <x:v>https://www.i.kyoto-u.ac.jp/admission/</x:v>
      </x:c>
      <x:c r="H33" s="2" t="str">
        <x:v>精确到专攻/项目</x:v>
      </x:c>
      <x:c r="I33" s="2" t="str">
        <x:v>2022、2023、2025、2026</x:v>
      </x:c>
      <x:c r="J33" s="27" t="str">
        <x:v>2022-2023はコース別入学者、2025-2026は一部日程の合格者、2026は募集人員を収録。志願者の過去年次数は公式ページで未発見。</x:v>
      </x:c>
      <x:c r="K33" s="27" t="str">
        <x:v>https://www.i.kyoto-u.ac.jp/admission/data/</x:v>
      </x:c>
      <x:c r="L33" s="44" t="n">
        <x:v>6</x:v>
      </x:c>
      <x:c r="M33" s="21" t="str">
        <x:v>2026-08-28</x:v>
      </x:c>
    </x:row>
    <x:row r="34" ht="34" customHeight="1">
      <x:c r="A34" s="2" t="n">
        <x:v>30</x:v>
      </x:c>
      <x:c r="B34" s="2" t="str">
        <x:v>京都大学</x:v>
      </x:c>
      <x:c r="C34" s="2" t="str">
        <x:v>情報学研究科</x:v>
      </x:c>
      <x:c r="D34" s="2" t="str">
        <x:v>システム科学専攻</x:v>
      </x:c>
      <x:c r="E34" s="2" t="str">
        <x:v>专攻/课程</x:v>
      </x:c>
      <x:c r="F34" s="2" t="str">
        <x:v>kyoto-university/informatics/sys</x:v>
      </x:c>
      <x:c r="G34" s="27" t="str">
        <x:v>https://www.i.kyoto-u.ac.jp/admission/</x:v>
      </x:c>
      <x:c r="H34" s="2" t="str">
        <x:v>精确到专攻/项目</x:v>
      </x:c>
      <x:c r="I34" s="2" t="str">
        <x:v>2022、2023、2025、2026</x:v>
      </x:c>
      <x:c r="J34" s="27" t="str">
        <x:v>2022-2023はコース別入学者、2025-2026は一部日程の合格者、2026は募集人員を収録。志願者の過去年次数は公式ページで未発見。</x:v>
      </x:c>
      <x:c r="K34" s="27" t="str">
        <x:v>https://www.i.kyoto-u.ac.jp/admission/data/</x:v>
      </x:c>
      <x:c r="L34" s="44" t="n">
        <x:v>6</x:v>
      </x:c>
      <x:c r="M34" s="21" t="str">
        <x:v>2026-08-28</x:v>
      </x:c>
    </x:row>
    <x:row r="35" ht="34" customHeight="1">
      <x:c r="A35" s="2" t="n">
        <x:v>31</x:v>
      </x:c>
      <x:c r="B35" s="2" t="str">
        <x:v>京都大学</x:v>
      </x:c>
      <x:c r="C35" s="2" t="str">
        <x:v>経営管理大学院</x:v>
      </x:c>
      <x:c r="D35" s="2" t="str">
        <x:v>（研究科层级）</x:v>
      </x:c>
      <x:c r="E35" s="2" t="str">
        <x:v>研究科层级</x:v>
      </x:c>
      <x:c r="F35" s="2" t="str">
        <x:v>kyoto-university/management</x:v>
      </x:c>
      <x:c r="G35" s="27" t="str">
        <x:v>https://www.gsm.kyoto-u.ac.jp/admission/</x:v>
      </x:c>
      <x:c r="H35" s="2" t="str">
        <x:v>未找到公开统计</x:v>
      </x:c>
      <x:c r="I35" s="2" t="str"/>
      <x:c r="J35" s="27" t="str">
        <x:v>本次核查未发现可验证的公开数值表；保留空白。</x:v>
      </x:c>
      <x:c r="K35" s="27" t="str"/>
      <x:c r="L35" s="44" t="n">
        <x:v>0</x:v>
      </x:c>
      <x:c r="M35" s="21" t="str">
        <x:v>2026-08-28</x:v>
      </x:c>
    </x:row>
    <x:row r="36" ht="34" customHeight="1">
      <x:c r="A36" s="2" t="n">
        <x:v>32</x:v>
      </x:c>
      <x:c r="B36" s="2" t="str">
        <x:v>京都大学</x:v>
      </x:c>
      <x:c r="C36" s="2" t="str">
        <x:v>理学研究科</x:v>
      </x:c>
      <x:c r="D36" s="2" t="str">
        <x:v>化学専攻</x:v>
      </x:c>
      <x:c r="E36" s="2" t="str">
        <x:v>专攻/课程</x:v>
      </x:c>
      <x:c r="F36" s="2" t="str">
        <x:v>kyoto-university/science/chem</x:v>
      </x:c>
      <x:c r="G36" s="27" t="str">
        <x:v>https://sci.kyoto-u.ac.jp/ja/admissions/ms</x:v>
      </x:c>
      <x:c r="H36" s="2" t="str">
        <x:v>未找到公开统计</x:v>
      </x:c>
      <x:c r="I36" s="2" t="str">
        <x:v>2022、2026</x:v>
      </x:c>
      <x:c r="J36" s="27" t="str">
        <x:v>公式入試案内・概要資料を確認したが、今回の納期内に列定義まで検証できる専攻別数表を確保できず未収録。</x:v>
      </x:c>
      <x:c r="K36" s="27" t="str">
        <x:v>https://www.sci.kyoto-u.ac.jp/ja/admissions</x:v>
      </x:c>
      <x:c r="L36" s="44" t="n">
        <x:v>0</x:v>
      </x:c>
      <x:c r="M36" s="21" t="str">
        <x:v>2026-08-28</x:v>
      </x:c>
    </x:row>
    <x:row r="37" ht="34" customHeight="1">
      <x:c r="A37" s="2" t="n">
        <x:v>33</x:v>
      </x:c>
      <x:c r="B37" s="2" t="str">
        <x:v>京都大学</x:v>
      </x:c>
      <x:c r="C37" s="2" t="str">
        <x:v>理学研究科</x:v>
      </x:c>
      <x:c r="D37" s="2" t="str">
        <x:v>地球惑星科学専攻</x:v>
      </x:c>
      <x:c r="E37" s="2" t="str">
        <x:v>专攻/课程</x:v>
      </x:c>
      <x:c r="F37" s="2" t="str">
        <x:v>kyoto-university/science/eps</x:v>
      </x:c>
      <x:c r="G37" s="27" t="str">
        <x:v>https://sci.kyoto-u.ac.jp/ja/admissions/ms</x:v>
      </x:c>
      <x:c r="H37" s="2" t="str">
        <x:v>未找到公开统计</x:v>
      </x:c>
      <x:c r="I37" s="2" t="str">
        <x:v>2022、2026</x:v>
      </x:c>
      <x:c r="J37" s="27" t="str">
        <x:v>公式入試案内・概要資料を確認したが、今回の納期内に列定義まで検証できる専攻別数表を確保できず未収録。</x:v>
      </x:c>
      <x:c r="K37" s="27" t="str">
        <x:v>https://www.sci.kyoto-u.ac.jp/ja/admissions</x:v>
      </x:c>
      <x:c r="L37" s="44" t="n">
        <x:v>0</x:v>
      </x:c>
      <x:c r="M37" s="21" t="str">
        <x:v>2026-08-28</x:v>
      </x:c>
    </x:row>
    <x:row r="38" ht="34" customHeight="1">
      <x:c r="A38" s="2" t="n">
        <x:v>34</x:v>
      </x:c>
      <x:c r="B38" s="2" t="str">
        <x:v>京都大学</x:v>
      </x:c>
      <x:c r="C38" s="2" t="str">
        <x:v>理学研究科</x:v>
      </x:c>
      <x:c r="D38" s="2" t="str">
        <x:v>数学・数理解析専攻</x:v>
      </x:c>
      <x:c r="E38" s="2" t="str">
        <x:v>专攻/课程</x:v>
      </x:c>
      <x:c r="F38" s="2" t="str">
        <x:v>kyoto-university/science/math</x:v>
      </x:c>
      <x:c r="G38" s="27" t="str">
        <x:v>https://sci.kyoto-u.ac.jp/ja/admissions/ms</x:v>
      </x:c>
      <x:c r="H38" s="2" t="str">
        <x:v>未找到公开统计</x:v>
      </x:c>
      <x:c r="I38" s="2" t="str">
        <x:v>2022、2026</x:v>
      </x:c>
      <x:c r="J38" s="27" t="str">
        <x:v>公式入試案内・概要資料を確認したが、今回の納期内に列定義まで検証できる専攻別数表を確保できず未収録。</x:v>
      </x:c>
      <x:c r="K38" s="27" t="str">
        <x:v>https://www.sci.kyoto-u.ac.jp/ja/admissions</x:v>
      </x:c>
      <x:c r="L38" s="44" t="n">
        <x:v>0</x:v>
      </x:c>
      <x:c r="M38" s="21" t="str">
        <x:v>2026-08-28</x:v>
      </x:c>
    </x:row>
    <x:row r="39" ht="34" customHeight="1">
      <x:c r="A39" s="2" t="n">
        <x:v>35</x:v>
      </x:c>
      <x:c r="B39" s="2" t="str">
        <x:v>京都大学</x:v>
      </x:c>
      <x:c r="C39" s="2" t="str">
        <x:v>理学研究科</x:v>
      </x:c>
      <x:c r="D39" s="2" t="str">
        <x:v>物理学・宇宙物理学専攻</x:v>
      </x:c>
      <x:c r="E39" s="2" t="str">
        <x:v>专攻/课程</x:v>
      </x:c>
      <x:c r="F39" s="2" t="str">
        <x:v>kyoto-university/science/phys</x:v>
      </x:c>
      <x:c r="G39" s="27" t="str">
        <x:v>https://sci.kyoto-u.ac.jp/ja/admissions/ms</x:v>
      </x:c>
      <x:c r="H39" s="2" t="str">
        <x:v>未找到公开统计</x:v>
      </x:c>
      <x:c r="I39" s="2" t="str">
        <x:v>2022、2026</x:v>
      </x:c>
      <x:c r="J39" s="27" t="str">
        <x:v>公式入試案内・概要資料を確認したが、今回の納期内に列定義まで検証できる専攻別数表を確保できず未収録。</x:v>
      </x:c>
      <x:c r="K39" s="27" t="str">
        <x:v>https://www.sci.kyoto-u.ac.jp/ja/admissions</x:v>
      </x:c>
      <x:c r="L39" s="44" t="n">
        <x:v>0</x:v>
      </x:c>
      <x:c r="M39" s="21" t="str">
        <x:v>2026-08-28</x:v>
      </x:c>
    </x:row>
    <x:row r="40" ht="34" customHeight="1">
      <x:c r="A40" s="2" t="n">
        <x:v>36</x:v>
      </x:c>
      <x:c r="B40" s="2" t="str">
        <x:v>京都大学</x:v>
      </x:c>
      <x:c r="C40" s="2" t="str">
        <x:v>理学研究科</x:v>
      </x:c>
      <x:c r="D40" s="2" t="str">
        <x:v>生物科学専攻</x:v>
      </x:c>
      <x:c r="E40" s="2" t="str">
        <x:v>专攻/课程</x:v>
      </x:c>
      <x:c r="F40" s="2" t="str">
        <x:v>kyoto-university/science/bio</x:v>
      </x:c>
      <x:c r="G40" s="27" t="str">
        <x:v>https://sci.kyoto-u.ac.jp/ja/admissions/ms</x:v>
      </x:c>
      <x:c r="H40" s="2" t="str">
        <x:v>未找到公开统计</x:v>
      </x:c>
      <x:c r="I40" s="2" t="str">
        <x:v>2022、2026</x:v>
      </x:c>
      <x:c r="J40" s="27" t="str">
        <x:v>公式入試案内・概要資料を確認したが、今回の納期内に列定義まで検証できる専攻別数表を確保できず未収録。</x:v>
      </x:c>
      <x:c r="K40" s="27" t="str">
        <x:v>https://www.sci.kyoto-u.ac.jp/ja/admissions</x:v>
      </x:c>
      <x:c r="L40" s="44" t="n">
        <x:v>0</x:v>
      </x:c>
      <x:c r="M40" s="21" t="str">
        <x:v>2026-08-28</x:v>
      </x:c>
    </x:row>
    <x:row r="41" ht="34" customHeight="1">
      <x:c r="A41" s="2" t="n">
        <x:v>37</x:v>
      </x:c>
      <x:c r="B41" s="2" t="str">
        <x:v>東北大学</x:v>
      </x:c>
      <x:c r="C41" s="2" t="str">
        <x:v>医工学研究科</x:v>
      </x:c>
      <x:c r="D41" s="2" t="str">
        <x:v>（研究科层级）</x:v>
      </x:c>
      <x:c r="E41" s="2" t="str">
        <x:v>研究科层级</x:v>
      </x:c>
      <x:c r="F41" s="2" t="str">
        <x:v>tohoku-university/biomedical_engineering</x:v>
      </x:c>
      <x:c r="G41" s="27" t="str">
        <x:v>https://www.bme.tohoku.ac.jp/admission/</x:v>
      </x:c>
      <x:c r="H41" s="2" t="str">
        <x:v>未找到公开统计</x:v>
      </x:c>
      <x:c r="I41" s="2" t="str"/>
      <x:c r="J41" s="27" t="str">
        <x:v>本次核查未发现可验证的公开数值表；保留空白。</x:v>
      </x:c>
      <x:c r="K41" s="27" t="str"/>
      <x:c r="L41" s="44" t="n">
        <x:v>0</x:v>
      </x:c>
      <x:c r="M41" s="21" t="str">
        <x:v>2026-08-28</x:v>
      </x:c>
    </x:row>
    <x:row r="42" ht="34" customHeight="1">
      <x:c r="A42" s="2" t="n">
        <x:v>38</x:v>
      </x:c>
      <x:c r="B42" s="2" t="str">
        <x:v>東北大学</x:v>
      </x:c>
      <x:c r="C42" s="2" t="str">
        <x:v>工学研究科</x:v>
      </x:c>
      <x:c r="D42" s="2" t="str">
        <x:v>応用物理学専攻</x:v>
      </x:c>
      <x:c r="E42" s="2" t="str">
        <x:v>专攻/课程</x:v>
      </x:c>
      <x:c r="F42" s="2" t="str">
        <x:v>tohoku-university/engineering/apph</x:v>
      </x:c>
      <x:c r="G42" s="27" t="str">
        <x:v>https://www.eng.tohoku.ac.jp/admission/grad/master.html</x:v>
      </x:c>
      <x:c r="H42" s="2" t="str">
        <x:v>未找到公开统计</x:v>
      </x:c>
      <x:c r="I42" s="2" t="str">
        <x:v>2022、2026</x:v>
      </x:c>
      <x:c r="J42" s="27" t="str">
        <x:v>公式募集要項・入試案内は確認したが、該当専攻／入試群別の年次実績数表は未発見。</x:v>
      </x:c>
      <x:c r="K42" s="27" t="str">
        <x:v>https://www.eng.tohoku.ac.jp/admission/grad/</x:v>
      </x:c>
      <x:c r="L42" s="44" t="n">
        <x:v>0</x:v>
      </x:c>
      <x:c r="M42" s="21" t="str">
        <x:v>2026-08-28</x:v>
      </x:c>
    </x:row>
    <x:row r="43" ht="34" customHeight="1">
      <x:c r="A43" s="2" t="n">
        <x:v>39</x:v>
      </x:c>
      <x:c r="B43" s="2" t="str">
        <x:v>東北大学</x:v>
      </x:c>
      <x:c r="C43" s="2" t="str">
        <x:v>工学研究科</x:v>
      </x:c>
      <x:c r="D43" s="2" t="str">
        <x:v>化学・バイオ系</x:v>
      </x:c>
      <x:c r="E43" s="2" t="str">
        <x:v>专攻/课程</x:v>
      </x:c>
      <x:c r="F43" s="2" t="str">
        <x:v>tohoku-university/engineering/che</x:v>
      </x:c>
      <x:c r="G43" s="27" t="str">
        <x:v>https://www.eng.tohoku.ac.jp/admission/grad/master.html</x:v>
      </x:c>
      <x:c r="H43" s="2" t="str">
        <x:v>未找到公开统计</x:v>
      </x:c>
      <x:c r="I43" s="2" t="str">
        <x:v>2022、2026</x:v>
      </x:c>
      <x:c r="J43" s="27" t="str">
        <x:v>公式募集要項・入試案内は確認したが、該当専攻／入試群別の年次実績数表は未発見。</x:v>
      </x:c>
      <x:c r="K43" s="27" t="str">
        <x:v>https://www.eng.tohoku.ac.jp/admission/grad/</x:v>
      </x:c>
      <x:c r="L43" s="44" t="n">
        <x:v>0</x:v>
      </x:c>
      <x:c r="M43" s="21" t="str">
        <x:v>2026-08-28</x:v>
      </x:c>
    </x:row>
    <x:row r="44" ht="34" customHeight="1">
      <x:c r="A44" s="2" t="n">
        <x:v>40</x:v>
      </x:c>
      <x:c r="B44" s="2" t="str">
        <x:v>東北大学</x:v>
      </x:c>
      <x:c r="C44" s="2" t="str">
        <x:v>工学研究科</x:v>
      </x:c>
      <x:c r="D44" s="2" t="str">
        <x:v>土木工学専攻</x:v>
      </x:c>
      <x:c r="E44" s="2" t="str">
        <x:v>专攻/课程</x:v>
      </x:c>
      <x:c r="F44" s="2" t="str">
        <x:v>tohoku-university/engineering/civil</x:v>
      </x:c>
      <x:c r="G44" s="27" t="str">
        <x:v>https://www.eng.tohoku.ac.jp/admission/grad/master.html</x:v>
      </x:c>
      <x:c r="H44" s="2" t="str">
        <x:v>未找到公开统计</x:v>
      </x:c>
      <x:c r="I44" s="2" t="str">
        <x:v>2022、2026</x:v>
      </x:c>
      <x:c r="J44" s="27" t="str">
        <x:v>公式募集要項・入試案内は確認したが、該当専攻／入試群別の年次実績数表は未発見。</x:v>
      </x:c>
      <x:c r="K44" s="27" t="str">
        <x:v>https://www.eng.tohoku.ac.jp/admission/grad/</x:v>
      </x:c>
      <x:c r="L44" s="44" t="n">
        <x:v>0</x:v>
      </x:c>
      <x:c r="M44" s="21" t="str">
        <x:v>2026-08-28</x:v>
      </x:c>
    </x:row>
    <x:row r="45" ht="34" customHeight="1">
      <x:c r="A45" s="2" t="n">
        <x:v>41</x:v>
      </x:c>
      <x:c r="B45" s="2" t="str">
        <x:v>東北大学</x:v>
      </x:c>
      <x:c r="C45" s="2" t="str">
        <x:v>工学研究科</x:v>
      </x:c>
      <x:c r="D45" s="2" t="str">
        <x:v>電気・情報系</x:v>
      </x:c>
      <x:c r="E45" s="2" t="str">
        <x:v>专攻/课程</x:v>
      </x:c>
      <x:c r="F45" s="2" t="str">
        <x:v>tohoku-university/engineering/ecei</x:v>
      </x:c>
      <x:c r="G45" s="27" t="str">
        <x:v>https://www.eng.tohoku.ac.jp/admission/grad/master.html</x:v>
      </x:c>
      <x:c r="H45" s="2" t="str">
        <x:v>未找到公开统计</x:v>
      </x:c>
      <x:c r="I45" s="2" t="str">
        <x:v>2022、2026</x:v>
      </x:c>
      <x:c r="J45" s="27" t="str">
        <x:v>公式募集要項・入試案内は確認したが、該当専攻／入試群別の年次実績数表は未発見。</x:v>
      </x:c>
      <x:c r="K45" s="27" t="str">
        <x:v>https://www.eng.tohoku.ac.jp/admission/grad/</x:v>
      </x:c>
      <x:c r="L45" s="44" t="n">
        <x:v>0</x:v>
      </x:c>
      <x:c r="M45" s="21" t="str">
        <x:v>2026-08-28</x:v>
      </x:c>
    </x:row>
    <x:row r="46" ht="34" customHeight="1">
      <x:c r="A46" s="2" t="n">
        <x:v>42</x:v>
      </x:c>
      <x:c r="B46" s="2" t="str">
        <x:v>東北大学</x:v>
      </x:c>
      <x:c r="C46" s="2" t="str">
        <x:v>工学研究科</x:v>
      </x:c>
      <x:c r="D46" s="2" t="str">
        <x:v>マテリアル・開発系</x:v>
      </x:c>
      <x:c r="E46" s="2" t="str">
        <x:v>专攻/课程</x:v>
      </x:c>
      <x:c r="F46" s="2" t="str">
        <x:v>tohoku-university/engineering/material</x:v>
      </x:c>
      <x:c r="G46" s="27" t="str">
        <x:v>https://www.eng.tohoku.ac.jp/admission/grad/master.html</x:v>
      </x:c>
      <x:c r="H46" s="2" t="str">
        <x:v>未找到公开统计</x:v>
      </x:c>
      <x:c r="I46" s="2" t="str">
        <x:v>2022、2026</x:v>
      </x:c>
      <x:c r="J46" s="27" t="str">
        <x:v>公式募集要項・入試案内は確認したが、該当専攻／入試群別の年次実績数表は未発見。</x:v>
      </x:c>
      <x:c r="K46" s="27" t="str">
        <x:v>https://www.eng.tohoku.ac.jp/admission/grad/</x:v>
      </x:c>
      <x:c r="L46" s="44" t="n">
        <x:v>0</x:v>
      </x:c>
      <x:c r="M46" s="21" t="str">
        <x:v>2026-08-28</x:v>
      </x:c>
    </x:row>
    <x:row r="47" ht="34" customHeight="1">
      <x:c r="A47" s="2" t="n">
        <x:v>43</x:v>
      </x:c>
      <x:c r="B47" s="2" t="str">
        <x:v>東北大学</x:v>
      </x:c>
      <x:c r="C47" s="2" t="str">
        <x:v>工学研究科</x:v>
      </x:c>
      <x:c r="D47" s="2" t="str">
        <x:v>機械系</x:v>
      </x:c>
      <x:c r="E47" s="2" t="str">
        <x:v>专攻/课程</x:v>
      </x:c>
      <x:c r="F47" s="2" t="str">
        <x:v>tohoku-university/engineering/mech</x:v>
      </x:c>
      <x:c r="G47" s="27" t="str">
        <x:v>https://www.eng.tohoku.ac.jp/admission/grad/master.html</x:v>
      </x:c>
      <x:c r="H47" s="2" t="str">
        <x:v>未找到公开统计</x:v>
      </x:c>
      <x:c r="I47" s="2" t="str">
        <x:v>2022、2026</x:v>
      </x:c>
      <x:c r="J47" s="27" t="str">
        <x:v>公式募集要項・入試案内は確認したが、該当専攻／入試群別の年次実績数表は未発見。</x:v>
      </x:c>
      <x:c r="K47" s="27" t="str">
        <x:v>https://www.eng.tohoku.ac.jp/admission/grad/</x:v>
      </x:c>
      <x:c r="L47" s="44" t="n">
        <x:v>0</x:v>
      </x:c>
      <x:c r="M47" s="21" t="str">
        <x:v>2026-08-28</x:v>
      </x:c>
    </x:row>
    <x:row r="48" ht="34" customHeight="1">
      <x:c r="A48" s="2" t="n">
        <x:v>44</x:v>
      </x:c>
      <x:c r="B48" s="2" t="str">
        <x:v>東北大学</x:v>
      </x:c>
      <x:c r="C48" s="2" t="str">
        <x:v>工学研究科</x:v>
      </x:c>
      <x:c r="D48" s="2" t="str">
        <x:v>量子エネルギー工学専攻</x:v>
      </x:c>
      <x:c r="E48" s="2" t="str">
        <x:v>专攻/课程</x:v>
      </x:c>
      <x:c r="F48" s="2" t="str">
        <x:v>tohoku-university/engineering/qse</x:v>
      </x:c>
      <x:c r="G48" s="27" t="str">
        <x:v>https://www.eng.tohoku.ac.jp/admission/grad/master.html</x:v>
      </x:c>
      <x:c r="H48" s="2" t="str">
        <x:v>未找到公开统计</x:v>
      </x:c>
      <x:c r="I48" s="2" t="str">
        <x:v>2022、2026</x:v>
      </x:c>
      <x:c r="J48" s="27" t="str">
        <x:v>公式募集要項・入試案内は確認したが、該当専攻／入試群別の年次実績数表は未発見。</x:v>
      </x:c>
      <x:c r="K48" s="27" t="str">
        <x:v>https://www.eng.tohoku.ac.jp/admission/grad/</x:v>
      </x:c>
      <x:c r="L48" s="44" t="n">
        <x:v>0</x:v>
      </x:c>
      <x:c r="M48" s="21" t="str">
        <x:v>2026-08-28</x:v>
      </x:c>
    </x:row>
    <x:row r="49" ht="34" customHeight="1">
      <x:c r="A49" s="2" t="n">
        <x:v>45</x:v>
      </x:c>
      <x:c r="B49" s="2" t="str">
        <x:v>東北大学</x:v>
      </x:c>
      <x:c r="C49" s="2" t="str">
        <x:v>環境科学研究科</x:v>
      </x:c>
      <x:c r="D49" s="2" t="str">
        <x:v>エネルギー環境群</x:v>
      </x:c>
      <x:c r="E49" s="2" t="str">
        <x:v>专攻/课程</x:v>
      </x:c>
      <x:c r="F49" s="2" t="str">
        <x:v>tohoku-university/environmental_studies/ee</x:v>
      </x:c>
      <x:c r="G49" s="27" t="str">
        <x:v>https://www.kankyo.tohoku.ac.jp/newstudent/nittei-yoko.html</x:v>
      </x:c>
      <x:c r="H49" s="2" t="str">
        <x:v>精确到专攻/项目</x:v>
      </x:c>
      <x:c r="I49" s="2" t="str">
        <x:v>2024–2025</x:v>
      </x:c>
      <x:c r="J49" s="27" t="str">
        <x:v>公式Web表に入試時期・選抜区分別の志願者・受験者・合格者あり。群別定員は未配分。</x:v>
      </x:c>
      <x:c r="K49" s="27" t="str">
        <x:v>https://www.kankyo.tohoku.ac.jp/newstudent/senkouj.html</x:v>
      </x:c>
      <x:c r="L49" s="44" t="n">
        <x:v>5</x:v>
      </x:c>
      <x:c r="M49" s="21" t="str">
        <x:v>2026-08-28</x:v>
      </x:c>
    </x:row>
    <x:row r="50" ht="34" customHeight="1">
      <x:c r="A50" s="2" t="n">
        <x:v>46</x:v>
      </x:c>
      <x:c r="B50" s="2" t="str">
        <x:v>東北大学</x:v>
      </x:c>
      <x:c r="C50" s="2" t="str">
        <x:v>情報科学研究科</x:v>
      </x:c>
      <x:c r="D50" s="2" t="str">
        <x:v>数学教室</x:v>
      </x:c>
      <x:c r="E50" s="2" t="str">
        <x:v>专攻/课程</x:v>
      </x:c>
      <x:c r="F50" s="2" t="str">
        <x:v>tohoku-university/information_sciences/math</x:v>
      </x:c>
      <x:c r="G50" s="27" t="str">
        <x:v>https://www.is.tohoku.ac.jp/jp/entrance/</x:v>
      </x:c>
      <x:c r="H50" s="2" t="str">
        <x:v>未找到公开统计</x:v>
      </x:c>
      <x:c r="I50" s="2" t="str">
        <x:v>2022、2026</x:v>
      </x:c>
      <x:c r="J50" s="27" t="str">
        <x:v>公式入試案内は確認したが、教室／群別の年次実績数表は未発見。</x:v>
      </x:c>
      <x:c r="K50" s="27" t="str">
        <x:v>https://www.is.tohoku.ac.jp/jp/entrance/</x:v>
      </x:c>
      <x:c r="L50" s="44" t="n">
        <x:v>0</x:v>
      </x:c>
      <x:c r="M50" s="21" t="str">
        <x:v>2026-08-28</x:v>
      </x:c>
    </x:row>
    <x:row r="51" ht="34" customHeight="1">
      <x:c r="A51" s="2" t="n">
        <x:v>47</x:v>
      </x:c>
      <x:c r="B51" s="2" t="str">
        <x:v>東北大学</x:v>
      </x:c>
      <x:c r="C51" s="2" t="str">
        <x:v>情報科学研究科</x:v>
      </x:c>
      <x:c r="D51" s="2" t="str">
        <x:v>社会科学群</x:v>
      </x:c>
      <x:c r="E51" s="2" t="str">
        <x:v>专攻/课程</x:v>
      </x:c>
      <x:c r="F51" s="2" t="str">
        <x:v>tohoku-university/information_sciences/social</x:v>
      </x:c>
      <x:c r="G51" s="27" t="str">
        <x:v>https://www.is.tohoku.ac.jp/jp/entrance/</x:v>
      </x:c>
      <x:c r="H51" s="2" t="str">
        <x:v>未找到公开统计</x:v>
      </x:c>
      <x:c r="I51" s="2" t="str">
        <x:v>2022、2026</x:v>
      </x:c>
      <x:c r="J51" s="27" t="str">
        <x:v>公式入試案内は確認したが、教室／群別の年次実績数表は未発見。</x:v>
      </x:c>
      <x:c r="K51" s="27" t="str">
        <x:v>https://www.is.tohoku.ac.jp/jp/entrance/</x:v>
      </x:c>
      <x:c r="L51" s="44" t="n">
        <x:v>0</x:v>
      </x:c>
      <x:c r="M51" s="21" t="str">
        <x:v>2026-08-28</x:v>
      </x:c>
    </x:row>
    <x:row r="52" ht="34" customHeight="1">
      <x:c r="A52" s="2" t="n">
        <x:v>48</x:v>
      </x:c>
      <x:c r="B52" s="2" t="str">
        <x:v>東北大学</x:v>
      </x:c>
      <x:c r="C52" s="2" t="str">
        <x:v>理学研究科</x:v>
      </x:c>
      <x:c r="D52" s="2" t="str">
        <x:v>化学専攻</x:v>
      </x:c>
      <x:c r="E52" s="2" t="str">
        <x:v>专攻/课程</x:v>
      </x:c>
      <x:c r="F52" s="2" t="str">
        <x:v>tohoku-university/science/chem</x:v>
      </x:c>
      <x:c r="G52" s="27" t="str">
        <x:v>https://www.sci.tohoku.ac.jp/juken/graduate-admission.html</x:v>
      </x:c>
      <x:c r="H52" s="2" t="str">
        <x:v>精确到专攻/项目</x:v>
      </x:c>
      <x:c r="I52" s="2" t="str">
        <x:v>2022–2025</x:v>
      </x:c>
      <x:c r="J52" s="27" t="str">
        <x:v>公式概要PDFに専攻別の定員・志願者・入学者あり。受験者・合格者は未掲載。</x:v>
      </x:c>
      <x:c r="K52" s="27" t="str">
        <x:v>https://www.sci.tohoku.ac.jp/about/pdf/sci-gaiyo2025.pdf</x:v>
      </x:c>
      <x:c r="L52" s="44" t="n">
        <x:v>4</x:v>
      </x:c>
      <x:c r="M52" s="21" t="str">
        <x:v>2026-08-28</x:v>
      </x:c>
    </x:row>
    <x:row r="53" ht="34" customHeight="1">
      <x:c r="A53" s="2" t="n">
        <x:v>49</x:v>
      </x:c>
      <x:c r="B53" s="2" t="str">
        <x:v>東北大学</x:v>
      </x:c>
      <x:c r="C53" s="2" t="str">
        <x:v>理学研究科</x:v>
      </x:c>
      <x:c r="D53" s="2" t="str">
        <x:v>地球物理学専攻</x:v>
      </x:c>
      <x:c r="E53" s="2" t="str">
        <x:v>专攻/课程</x:v>
      </x:c>
      <x:c r="F53" s="2" t="str">
        <x:v>tohoku-university/science/gp</x:v>
      </x:c>
      <x:c r="G53" s="27" t="str">
        <x:v>https://www.sci.tohoku.ac.jp/juken/graduate-admission.html</x:v>
      </x:c>
      <x:c r="H53" s="2" t="str">
        <x:v>精确到专攻/项目</x:v>
      </x:c>
      <x:c r="I53" s="2" t="str">
        <x:v>2022–2025</x:v>
      </x:c>
      <x:c r="J53" s="27" t="str">
        <x:v>公式概要PDFに専攻別の定員・志願者・入学者あり。受験者・合格者は未掲載。</x:v>
      </x:c>
      <x:c r="K53" s="27" t="str">
        <x:v>https://www.sci.tohoku.ac.jp/about/pdf/sci-gaiyo2025.pdf</x:v>
      </x:c>
      <x:c r="L53" s="44" t="n">
        <x:v>8</x:v>
      </x:c>
      <x:c r="M53" s="21" t="str">
        <x:v>2026-08-28</x:v>
      </x:c>
    </x:row>
    <x:row r="54" ht="34" customHeight="1">
      <x:c r="A54" s="2" t="n">
        <x:v>50</x:v>
      </x:c>
      <x:c r="B54" s="2" t="str">
        <x:v>東北大学</x:v>
      </x:c>
      <x:c r="C54" s="2" t="str">
        <x:v>理学研究科</x:v>
      </x:c>
      <x:c r="D54" s="2" t="str">
        <x:v>数学専攻</x:v>
      </x:c>
      <x:c r="E54" s="2" t="str">
        <x:v>专攻/课程</x:v>
      </x:c>
      <x:c r="F54" s="2" t="str">
        <x:v>tohoku-university/science/math</x:v>
      </x:c>
      <x:c r="G54" s="27" t="str">
        <x:v>https://www.sci.tohoku.ac.jp/juken/graduate-admission.html</x:v>
      </x:c>
      <x:c r="H54" s="2" t="str">
        <x:v>精确到专攻/项目</x:v>
      </x:c>
      <x:c r="I54" s="2" t="str">
        <x:v>2022–2025</x:v>
      </x:c>
      <x:c r="J54" s="27" t="str">
        <x:v>公式概要PDFに専攻別の定員・志願者・入学者あり。受験者・合格者は未掲載。</x:v>
      </x:c>
      <x:c r="K54" s="27" t="str">
        <x:v>https://www.sci.tohoku.ac.jp/about/pdf/sci-gaiyo2025.pdf</x:v>
      </x:c>
      <x:c r="L54" s="44" t="n">
        <x:v>4</x:v>
      </x:c>
      <x:c r="M54" s="21" t="str">
        <x:v>2026-08-28</x:v>
      </x:c>
    </x:row>
    <x:row r="55" ht="34" customHeight="1">
      <x:c r="A55" s="2" t="n">
        <x:v>51</x:v>
      </x:c>
      <x:c r="B55" s="2" t="str">
        <x:v>東北大学</x:v>
      </x:c>
      <x:c r="C55" s="2" t="str">
        <x:v>理学研究科</x:v>
      </x:c>
      <x:c r="D55" s="2" t="str">
        <x:v>物理学専攻</x:v>
      </x:c>
      <x:c r="E55" s="2" t="str">
        <x:v>专攻/课程</x:v>
      </x:c>
      <x:c r="F55" s="2" t="str">
        <x:v>tohoku-university/science/phys</x:v>
      </x:c>
      <x:c r="G55" s="27" t="str">
        <x:v>https://www.sci.tohoku.ac.jp/juken/graduate-admission.html</x:v>
      </x:c>
      <x:c r="H55" s="2" t="str">
        <x:v>精确到专攻/项目</x:v>
      </x:c>
      <x:c r="I55" s="2" t="str">
        <x:v>2022–2025</x:v>
      </x:c>
      <x:c r="J55" s="27" t="str">
        <x:v>公式概要PDFに専攻別の定員・志願者・入学者あり。受験者・合格者は未掲載。</x:v>
      </x:c>
      <x:c r="K55" s="27" t="str">
        <x:v>https://www.sci.tohoku.ac.jp/about/pdf/sci-gaiyo2025.pdf</x:v>
      </x:c>
      <x:c r="L55" s="44" t="n">
        <x:v>8</x:v>
      </x:c>
      <x:c r="M55" s="21" t="str">
        <x:v>2026-08-28</x:v>
      </x:c>
    </x:row>
    <x:row r="56" ht="34" customHeight="1">
      <x:c r="A56" s="2" t="n">
        <x:v>52</x:v>
      </x:c>
      <x:c r="B56" s="2" t="str">
        <x:v>東北大学</x:v>
      </x:c>
      <x:c r="C56" s="2" t="str">
        <x:v>理学研究科</x:v>
      </x:c>
      <x:c r="D56" s="2" t="str">
        <x:v>地学専攻</x:v>
      </x:c>
      <x:c r="E56" s="2" t="str">
        <x:v>专攻/课程</x:v>
      </x:c>
      <x:c r="F56" s="2" t="str">
        <x:v>tohoku-university/science/earth</x:v>
      </x:c>
      <x:c r="G56" s="27" t="str">
        <x:v>https://www.sci.tohoku.ac.jp/juken/graduate-admission.html</x:v>
      </x:c>
      <x:c r="H56" s="2" t="str">
        <x:v>精确到专攻/项目</x:v>
      </x:c>
      <x:c r="I56" s="2" t="str">
        <x:v>2022–2025</x:v>
      </x:c>
      <x:c r="J56" s="27" t="str">
        <x:v>公式概要PDFに専攻別の定員・志願者・入学者あり。受験者・合格者は未掲載。</x:v>
      </x:c>
      <x:c r="K56" s="27" t="str">
        <x:v>https://www.sci.tohoku.ac.jp/about/pdf/sci-gaiyo2025.pdf</x:v>
      </x:c>
      <x:c r="L56" s="44" t="n">
        <x:v>4</x:v>
      </x:c>
      <x:c r="M56" s="21" t="str">
        <x:v>2026-08-28</x:v>
      </x:c>
    </x:row>
    <x:row r="57" ht="34" customHeight="1">
      <x:c r="A57" s="2" t="n">
        <x:v>53</x:v>
      </x:c>
      <x:c r="B57" s="2" t="str">
        <x:v>東北大学</x:v>
      </x:c>
      <x:c r="C57" s="2" t="str">
        <x:v>理学研究科</x:v>
      </x:c>
      <x:c r="D57" s="2" t="str">
        <x:v>天文学専攻</x:v>
      </x:c>
      <x:c r="E57" s="2" t="str">
        <x:v>专攻/课程</x:v>
      </x:c>
      <x:c r="F57" s="2" t="str">
        <x:v>tohoku-university/science/astron</x:v>
      </x:c>
      <x:c r="G57" s="27" t="str">
        <x:v>https://www.sci.tohoku.ac.jp/juken/graduate-admission.html</x:v>
      </x:c>
      <x:c r="H57" s="2" t="str">
        <x:v>精确到专攻/项目</x:v>
      </x:c>
      <x:c r="I57" s="2" t="str">
        <x:v>2022–2025</x:v>
      </x:c>
      <x:c r="J57" s="27" t="str">
        <x:v>公式概要PDFに専攻別の定員・志願者・入学者あり。受験者・合格者は未掲載。</x:v>
      </x:c>
      <x:c r="K57" s="27" t="str">
        <x:v>https://www.sci.tohoku.ac.jp/about/pdf/sci-gaiyo2025.pdf</x:v>
      </x:c>
      <x:c r="L57" s="44" t="n">
        <x:v>4</x:v>
      </x:c>
      <x:c r="M57" s="21" t="str">
        <x:v>2026-08-28</x:v>
      </x:c>
    </x:row>
    <x:row r="58" ht="34" customHeight="1">
      <x:c r="A58" s="2" t="n">
        <x:v>54</x:v>
      </x:c>
      <x:c r="B58" s="2" t="str">
        <x:v>大阪大学</x:v>
      </x:c>
      <x:c r="C58" s="2" t="str">
        <x:v>工学研究科</x:v>
      </x:c>
      <x:c r="D58" s="2" t="str">
        <x:v>電気電子情報工学専攻</x:v>
      </x:c>
      <x:c r="E58" s="2" t="str">
        <x:v>专攻/课程</x:v>
      </x:c>
      <x:c r="F58" s="2" t="str">
        <x:v>osaka-university/engineering/eei</x:v>
      </x:c>
      <x:c r="G58" s="27" t="str">
        <x:v>https://www.eng.osaka-u.ac.jp/ja/entrance/g_admissions/</x:v>
      </x:c>
      <x:c r="H58" s="2" t="str">
        <x:v>仅上位层级合计</x:v>
      </x:c>
      <x:c r="I58" s="2" t="str">
        <x:v>2024</x:v>
      </x:c>
      <x:c r="J58" s="27" t="str">
        <x:v>公式大学本部PDFでは工学研究科合計のみ確認。専攻別へ割り当て不可。</x:v>
      </x:c>
      <x:c r="K58" s="27" t="str">
        <x:v>https://www.osaka-u.ac.jp/++api++/ja/admissions/files/202404_daigakuin.pdf/@@download/file?expand=translations</x:v>
      </x:c>
      <x:c r="L58" s="44" t="n">
        <x:v>2</x:v>
      </x:c>
      <x:c r="M58" s="21" t="str">
        <x:v>2026-08-28</x:v>
      </x:c>
    </x:row>
    <x:row r="59" ht="34" customHeight="1">
      <x:c r="A59" s="2" t="n">
        <x:v>55</x:v>
      </x:c>
      <x:c r="B59" s="2" t="str">
        <x:v>大阪大学</x:v>
      </x:c>
      <x:c r="C59" s="2" t="str">
        <x:v>工学研究科</x:v>
      </x:c>
      <x:c r="D59" s="2" t="str">
        <x:v>環境・エネルギー工学科</x:v>
      </x:c>
      <x:c r="E59" s="2" t="str">
        <x:v>专攻/课程</x:v>
      </x:c>
      <x:c r="F59" s="2" t="str">
        <x:v>osaka-university/engineering/see</x:v>
      </x:c>
      <x:c r="G59" s="27" t="str">
        <x:v>https://www.eng.osaka-u.ac.jp/ja/entrance/g_admissions/</x:v>
      </x:c>
      <x:c r="H59" s="2" t="str">
        <x:v>仅上位层级合计</x:v>
      </x:c>
      <x:c r="I59" s="2" t="str">
        <x:v>2024</x:v>
      </x:c>
      <x:c r="J59" s="27" t="str">
        <x:v>公式大学本部PDFでは工学研究科合計のみ確認。専攻別へ割り当て不可。</x:v>
      </x:c>
      <x:c r="K59" s="27" t="str">
        <x:v>https://www.osaka-u.ac.jp/++api++/ja/admissions/files/202404_daigakuin.pdf/@@download/file?expand=translations</x:v>
      </x:c>
      <x:c r="L59" s="44" t="n">
        <x:v>2</x:v>
      </x:c>
      <x:c r="M59" s="21" t="str">
        <x:v>2026-08-28</x:v>
      </x:c>
    </x:row>
    <x:row r="60" ht="34" customHeight="1">
      <x:c r="A60" s="2" t="n">
        <x:v>56</x:v>
      </x:c>
      <x:c r="B60" s="2" t="str">
        <x:v>大阪大学</x:v>
      </x:c>
      <x:c r="C60" s="2" t="str">
        <x:v>基礎工学研究科</x:v>
      </x:c>
      <x:c r="D60" s="2" t="str">
        <x:v>生体システム工学</x:v>
      </x:c>
      <x:c r="E60" s="2" t="str">
        <x:v>专攻/课程</x:v>
      </x:c>
      <x:c r="F60" s="2" t="str">
        <x:v>osaka-university/engineering_sciences/bio</x:v>
      </x:c>
      <x:c r="G60" s="27" t="str">
        <x:v>https://www.es.osaka-u.ac.jp/ja/examinee/graduate-school-of-engineering-science/entrance-exam/</x:v>
      </x:c>
      <x:c r="H60" s="2" t="str">
        <x:v>仅上位层级合计</x:v>
      </x:c>
      <x:c r="I60" s="2" t="str">
        <x:v>2024</x:v>
      </x:c>
      <x:c r="J60" s="27" t="str">
        <x:v>プロジェクトの名称は領域・講座等を含み、大学本部表は研究科合計のみ。専攻値として扱っていない。</x:v>
      </x:c>
      <x:c r="K60" s="27" t="str">
        <x:v>https://www.osaka-u.ac.jp/++api++/ja/admissions/files/202404_daigakuin.pdf/@@download/file?expand=translations</x:v>
      </x:c>
      <x:c r="L60" s="44" t="n">
        <x:v>2</x:v>
      </x:c>
      <x:c r="M60" s="21" t="str">
        <x:v>2026-08-28</x:v>
      </x:c>
    </x:row>
    <x:row r="61" ht="34" customHeight="1">
      <x:c r="A61" s="2" t="n">
        <x:v>57</x:v>
      </x:c>
      <x:c r="B61" s="2" t="str">
        <x:v>大阪大学</x:v>
      </x:c>
      <x:c r="C61" s="2" t="str">
        <x:v>基礎工学研究科</x:v>
      </x:c>
      <x:c r="D61" s="2" t="str">
        <x:v>電子光科学 (システム創成専攻)</x:v>
      </x:c>
      <x:c r="E61" s="2" t="str">
        <x:v>专攻/课程</x:v>
      </x:c>
      <x:c r="F61" s="2" t="str">
        <x:v>osaka-university/engineering_sciences/ee</x:v>
      </x:c>
      <x:c r="G61" s="27" t="str">
        <x:v>https://www.es.osaka-u.ac.jp/ja/examinee/graduate-school-of-engineering-science/entrance-exam/</x:v>
      </x:c>
      <x:c r="H61" s="2" t="str">
        <x:v>仅上位层级合计</x:v>
      </x:c>
      <x:c r="I61" s="2" t="str">
        <x:v>2024</x:v>
      </x:c>
      <x:c r="J61" s="27" t="str">
        <x:v>プロジェクトの名称は領域・講座等を含み、大学本部表は研究科合計のみ。専攻値として扱っていない。</x:v>
      </x:c>
      <x:c r="K61" s="27" t="str">
        <x:v>https://www.osaka-u.ac.jp/++api++/ja/admissions/files/202404_daigakuin.pdf/@@download/file?expand=translations</x:v>
      </x:c>
      <x:c r="L61" s="44" t="n">
        <x:v>2</x:v>
      </x:c>
      <x:c r="M61" s="21" t="str">
        <x:v>2026-08-28</x:v>
      </x:c>
    </x:row>
    <x:row r="62" ht="34" customHeight="1">
      <x:c r="A62" s="2" t="n">
        <x:v>58</x:v>
      </x:c>
      <x:c r="B62" s="2" t="str">
        <x:v>大阪大学</x:v>
      </x:c>
      <x:c r="C62" s="2" t="str">
        <x:v>基礎工学研究科</x:v>
      </x:c>
      <x:c r="D62" s="2" t="str">
        <x:v>機械科学 (機能創成専攻)</x:v>
      </x:c>
      <x:c r="E62" s="2" t="str">
        <x:v>专攻/课程</x:v>
      </x:c>
      <x:c r="F62" s="2" t="str">
        <x:v>osaka-university/engineering_sciences/me</x:v>
      </x:c>
      <x:c r="G62" s="27" t="str">
        <x:v>https://www.es.osaka-u.ac.jp/ja/examinee/graduate-school-of-engineering-science/entrance-exam/</x:v>
      </x:c>
      <x:c r="H62" s="2" t="str">
        <x:v>仅上位层级合计</x:v>
      </x:c>
      <x:c r="I62" s="2" t="str">
        <x:v>2024</x:v>
      </x:c>
      <x:c r="J62" s="27" t="str">
        <x:v>プロジェクトの名称は領域・講座等を含み、大学本部表は研究科合計のみ。専攻値として扱っていない。</x:v>
      </x:c>
      <x:c r="K62" s="27" t="str">
        <x:v>https://www.osaka-u.ac.jp/++api++/ja/admissions/files/202404_daigakuin.pdf/@@download/file?expand=translations</x:v>
      </x:c>
      <x:c r="L62" s="44" t="n">
        <x:v>2</x:v>
      </x:c>
      <x:c r="M62" s="21" t="str">
        <x:v>2026-08-28</x:v>
      </x:c>
    </x:row>
    <x:row r="63" ht="34" customHeight="1">
      <x:c r="A63" s="2" t="n">
        <x:v>59</x:v>
      </x:c>
      <x:c r="B63" s="2" t="str">
        <x:v>大阪大学</x:v>
      </x:c>
      <x:c r="C63" s="2" t="str">
        <x:v>基礎工学研究科</x:v>
      </x:c>
      <x:c r="D63" s="2" t="str">
        <x:v>数理科学 (システム創成専攻)</x:v>
      </x:c>
      <x:c r="E63" s="2" t="str">
        <x:v>专攻/课程</x:v>
      </x:c>
      <x:c r="F63" s="2" t="str">
        <x:v>osaka-university/engineering_sciences/sigmath</x:v>
      </x:c>
      <x:c r="G63" s="27" t="str">
        <x:v>https://www.es.osaka-u.ac.jp/ja/examinee/graduate-school-of-engineering-science/entrance-exam/</x:v>
      </x:c>
      <x:c r="H63" s="2" t="str">
        <x:v>仅上位层级合计</x:v>
      </x:c>
      <x:c r="I63" s="2" t="str">
        <x:v>2024</x:v>
      </x:c>
      <x:c r="J63" s="27" t="str">
        <x:v>プロジェクトの名称は領域・講座等を含み、大学本部表は研究科合計のみ。専攻値として扱っていない。</x:v>
      </x:c>
      <x:c r="K63" s="27" t="str">
        <x:v>https://www.osaka-u.ac.jp/++api++/ja/admissions/files/202404_daigakuin.pdf/@@download/file?expand=translations</x:v>
      </x:c>
      <x:c r="L63" s="44" t="n">
        <x:v>2</x:v>
      </x:c>
      <x:c r="M63" s="21" t="str">
        <x:v>2026-08-28</x:v>
      </x:c>
    </x:row>
    <x:row r="64" ht="34" customHeight="1">
      <x:c r="A64" s="2" t="n">
        <x:v>60</x:v>
      </x:c>
      <x:c r="B64" s="2" t="str">
        <x:v>大阪大学</x:v>
      </x:c>
      <x:c r="C64" s="2" t="str">
        <x:v>基礎工学研究科</x:v>
      </x:c>
      <x:c r="D64" s="2" t="str">
        <x:v>知能システム学</x:v>
      </x:c>
      <x:c r="E64" s="2" t="str">
        <x:v>专攻/课程</x:v>
      </x:c>
      <x:c r="F64" s="2" t="str">
        <x:v>osaka-university/engineering_sciences/sys</x:v>
      </x:c>
      <x:c r="G64" s="27" t="str">
        <x:v>https://www.es.osaka-u.ac.jp/ja/examinee/graduate-school-of-engineering-science/entrance-exam/</x:v>
      </x:c>
      <x:c r="H64" s="2" t="str">
        <x:v>仅上位层级合计</x:v>
      </x:c>
      <x:c r="I64" s="2" t="str">
        <x:v>2024</x:v>
      </x:c>
      <x:c r="J64" s="27" t="str">
        <x:v>プロジェクトの名称は領域・講座等を含み、大学本部表は研究科合計のみ。専攻値として扱っていない。</x:v>
      </x:c>
      <x:c r="K64" s="27" t="str">
        <x:v>https://www.osaka-u.ac.jp/++api++/ja/admissions/files/202404_daigakuin.pdf/@@download/file?expand=translations</x:v>
      </x:c>
      <x:c r="L64" s="44" t="n">
        <x:v>2</x:v>
      </x:c>
      <x:c r="M64" s="21" t="str">
        <x:v>2026-08-28</x:v>
      </x:c>
    </x:row>
    <x:row r="65" ht="34" customHeight="1">
      <x:c r="A65" s="2" t="n">
        <x:v>61</x:v>
      </x:c>
      <x:c r="B65" s="2" t="str">
        <x:v>大阪大学</x:v>
      </x:c>
      <x:c r="C65" s="2" t="str">
        <x:v>情報科学研究科</x:v>
      </x:c>
      <x:c r="D65" s="2" t="str">
        <x:v>情報工学</x:v>
      </x:c>
      <x:c r="E65" s="2" t="str">
        <x:v>专攻/课程</x:v>
      </x:c>
      <x:c r="F65" s="2" t="str">
        <x:v>osaka-university/IST/ie</x:v>
      </x:c>
      <x:c r="G65" s="27" t="str">
        <x:v>https://www.ist.osaka-u.ac.jp/japanese/examinees/admission/</x:v>
      </x:c>
      <x:c r="H65" s="2" t="str">
        <x:v>仅上位层级合计</x:v>
      </x:c>
      <x:c r="I65" s="2" t="str">
        <x:v>2022、2024、2025</x:v>
      </x:c>
      <x:c r="J65" s="27" t="str">
        <x:v>プロジェクトの「情報工学」は入試上の共通区分で正式専攻と一対一対応しない。研究科合計を専攻値に割り当てていない。</x:v>
      </x:c>
      <x:c r="K65" s="27" t="str">
        <x:v>https://www.osaka-u.ac.jp/++api++/ja/admissions/files/202404_daigakuin.pdf/@@download/file?expand=translations</x:v>
      </x:c>
      <x:c r="L65" s="44" t="n">
        <x:v>1</x:v>
      </x:c>
      <x:c r="M65" s="21" t="str">
        <x:v>2026-08-28</x:v>
      </x:c>
    </x:row>
    <x:row r="66" ht="34" customHeight="1">
      <x:c r="A66" s="2" t="n">
        <x:v>62</x:v>
      </x:c>
      <x:c r="B66" s="2" t="str">
        <x:v>大阪大学</x:v>
      </x:c>
      <x:c r="C66" s="2" t="str">
        <x:v>情報科学研究科</x:v>
      </x:c>
      <x:c r="D66" s="2" t="str">
        <x:v>情報数理学専攻</x:v>
      </x:c>
      <x:c r="E66" s="2" t="str">
        <x:v>专攻/课程</x:v>
      </x:c>
      <x:c r="F66" s="2" t="str">
        <x:v>osaka-university/IST/IPS</x:v>
      </x:c>
      <x:c r="G66" s="27" t="str">
        <x:v>https://www.ist.osaka-u.ac.jp/japanese/examinees/admission/</x:v>
      </x:c>
      <x:c r="H66" s="2" t="str">
        <x:v>精确到专攻/项目</x:v>
      </x:c>
      <x:c r="I66" s="2" t="str">
        <x:v>2022–2025</x:v>
      </x:c>
      <x:c r="J66" s="27" t="str">
        <x:v>公式年報に専攻別定員・入学者あり。志願者・受験者・合格者は研究科合計のみ。</x:v>
      </x:c>
      <x:c r="K66" s="27" t="str">
        <x:v>https://www.ist.osaka-u.ac.jp/files/overview/publication/publicationIstPlaza_No21.pdf</x:v>
      </x:c>
      <x:c r="L66" s="44" t="n">
        <x:v>4</x:v>
      </x:c>
      <x:c r="M66" s="21" t="str">
        <x:v>2026-08-28</x:v>
      </x:c>
    </x:row>
    <x:row r="67" ht="34" customHeight="1">
      <x:c r="A67" s="2" t="n">
        <x:v>63</x:v>
      </x:c>
      <x:c r="B67" s="2" t="str">
        <x:v>大阪大学</x:v>
      </x:c>
      <x:c r="C67" s="2" t="str">
        <x:v>情報科学研究科</x:v>
      </x:c>
      <x:c r="D67" s="2" t="str">
        <x:v>情報基礎数学専攻</x:v>
      </x:c>
      <x:c r="E67" s="2" t="str">
        <x:v>专攻/课程</x:v>
      </x:c>
      <x:c r="F67" s="2" t="str">
        <x:v>osaka-university/IST/math</x:v>
      </x:c>
      <x:c r="G67" s="27" t="str">
        <x:v>https://www.ist.osaka-u.ac.jp/japanese/examinees/admission/</x:v>
      </x:c>
      <x:c r="H67" s="2" t="str">
        <x:v>精确到专攻/项目</x:v>
      </x:c>
      <x:c r="I67" s="2" t="str">
        <x:v>2022–2025</x:v>
      </x:c>
      <x:c r="J67" s="27" t="str">
        <x:v>公式年報に専攻別定員・入学者あり。志願者・受験者・合格者は研究科合計のみ。</x:v>
      </x:c>
      <x:c r="K67" s="27" t="str">
        <x:v>https://www.ist.osaka-u.ac.jp/files/overview/publication/publicationIstPlaza_No21.pdf</x:v>
      </x:c>
      <x:c r="L67" s="44" t="n">
        <x:v>4</x:v>
      </x:c>
      <x:c r="M67" s="21" t="str">
        <x:v>2026-08-28</x:v>
      </x:c>
    </x:row>
    <x:row r="68" ht="34" customHeight="1">
      <x:c r="A68" s="2" t="n">
        <x:v>64</x:v>
      </x:c>
      <x:c r="B68" s="2" t="str">
        <x:v>大阪大学</x:v>
      </x:c>
      <x:c r="C68" s="2" t="str">
        <x:v>理学研究科</x:v>
      </x:c>
      <x:c r="D68" s="2" t="str">
        <x:v>物理学専攻</x:v>
      </x:c>
      <x:c r="E68" s="2" t="str">
        <x:v>专攻/课程</x:v>
      </x:c>
      <x:c r="F68" s="2" t="str">
        <x:v>osaka-university/science/phys</x:v>
      </x:c>
      <x:c r="G68" s="27" t="str">
        <x:v>https://www.sci.osaka-u.ac.jp/ja/admissions/admissions_d/</x:v>
      </x:c>
      <x:c r="H68" s="2" t="str">
        <x:v>精确到专攻/项目</x:v>
      </x:c>
      <x:c r="I68" s="2" t="str">
        <x:v>2026</x:v>
      </x:c>
      <x:c r="J68" s="27" t="str">
        <x:v>公式Web表に専攻別の入学定員・志願者・入学者あり。受験者・合格者は未掲載。</x:v>
      </x:c>
      <x:c r="K68" s="27" t="str">
        <x:v>https://www.sci.osaka-u.ac.jp/ja/outline/basicdata/tbl-new_students/</x:v>
      </x:c>
      <x:c r="L68" s="44" t="n">
        <x:v>1</x:v>
      </x:c>
      <x:c r="M68" s="21" t="str">
        <x:v>2026-08-28</x:v>
      </x:c>
    </x:row>
    <x:row r="69" ht="34" customHeight="1">
      <x:c r="A69" s="2" t="n">
        <x:v>65</x:v>
      </x:c>
      <x:c r="B69" s="2" t="str">
        <x:v>名古屋大学</x:v>
      </x:c>
      <x:c r="C69" s="2" t="str">
        <x:v>環境学研究科</x:v>
      </x:c>
      <x:c r="D69" s="2" t="str">
        <x:v>地球環境科学専攻</x:v>
      </x:c>
      <x:c r="E69" s="2" t="str">
        <x:v>专攻/课程</x:v>
      </x:c>
      <x:c r="F69" s="2" t="str">
        <x:v>nagoya-university/EES/eps</x:v>
      </x:c>
      <x:c r="G69" s="27" t="str">
        <x:v>https://www.env.nagoya-u.ac.jp/admission/index.html</x:v>
      </x:c>
      <x:c r="H69" s="2" t="str">
        <x:v>精确到专攻/项目</x:v>
      </x:c>
      <x:c r="I69" s="2" t="str">
        <x:v>2025–2026</x:v>
      </x:c>
      <x:c r="J69" s="27" t="str"/>
      <x:c r="K69" s="27" t="str">
        <x:v>https://www.env.nagoya-u.ac.jp/admission/file/status_2024-2025.pdf</x:v>
      </x:c>
      <x:c r="L69" s="44" t="n">
        <x:v>14</x:v>
      </x:c>
      <x:c r="M69" s="21" t="str">
        <x:v>2026-08-28</x:v>
      </x:c>
    </x:row>
    <x:row r="70" ht="34" customHeight="1">
      <x:c r="A70" s="2" t="n">
        <x:v>66</x:v>
      </x:c>
      <x:c r="B70" s="2" t="str">
        <x:v>名古屋大学</x:v>
      </x:c>
      <x:c r="C70" s="2" t="str">
        <x:v>工学研究科</x:v>
      </x:c>
      <x:c r="D70" s="2" t="str">
        <x:v>機械航空系</x:v>
      </x:c>
      <x:c r="E70" s="2" t="str">
        <x:v>专攻/课程</x:v>
      </x:c>
      <x:c r="F70" s="2" t="str">
        <x:v>nagoya-university/engineering/mae</x:v>
      </x:c>
      <x:c r="G70" s="27" t="str">
        <x:v>https://www.engg.nagoya-u.ac.jp/prospective/</x:v>
      </x:c>
      <x:c r="H70" s="2" t="str">
        <x:v>未找到公开统计</x:v>
      </x:c>
      <x:c r="I70" s="2" t="str">
        <x:v>2022、2026</x:v>
      </x:c>
      <x:c r="J70" s="27" t="str">
        <x:v>未发现可核对到项目该系的逐年修士入试志愿者数/合格者数。</x:v>
      </x:c>
      <x:c r="K70" s="27" t="str">
        <x:v>https://www.engg.nagoya-u.ac.jp/prospective/</x:v>
      </x:c>
      <x:c r="L70" s="44" t="n">
        <x:v>0</x:v>
      </x:c>
      <x:c r="M70" s="21" t="str">
        <x:v>2026-08-28</x:v>
      </x:c>
    </x:row>
    <x:row r="71" ht="34" customHeight="1">
      <x:c r="A71" s="2" t="n">
        <x:v>67</x:v>
      </x:c>
      <x:c r="B71" s="2" t="str">
        <x:v>名古屋大学</x:v>
      </x:c>
      <x:c r="C71" s="2" t="str">
        <x:v>工学研究科</x:v>
      </x:c>
      <x:c r="D71" s="2" t="str">
        <x:v>電気電子情報工学科</x:v>
      </x:c>
      <x:c r="E71" s="2" t="str">
        <x:v>专攻/课程</x:v>
      </x:c>
      <x:c r="F71" s="2" t="str">
        <x:v>nagoya-university/engineering/nuee</x:v>
      </x:c>
      <x:c r="G71" s="27" t="str">
        <x:v>https://www.engg.nagoya-u.ac.jp/prospective/</x:v>
      </x:c>
      <x:c r="H71" s="2" t="str">
        <x:v>未找到公开统计</x:v>
      </x:c>
      <x:c r="I71" s="2" t="str">
        <x:v>2022、2026</x:v>
      </x:c>
      <x:c r="J71" s="27" t="str">
        <x:v>项目名称为学部学科式表记；未发现可安全映射为单一大学院专攻的逐年入试统计。</x:v>
      </x:c>
      <x:c r="K71" s="27" t="str">
        <x:v>https://www.engg.nagoya-u.ac.jp/prospective/</x:v>
      </x:c>
      <x:c r="L71" s="44" t="n">
        <x:v>0</x:v>
      </x:c>
      <x:c r="M71" s="21" t="str">
        <x:v>2026-08-28</x:v>
      </x:c>
    </x:row>
    <x:row r="72" ht="34" customHeight="1">
      <x:c r="A72" s="2" t="n">
        <x:v>68</x:v>
      </x:c>
      <x:c r="B72" s="2" t="str">
        <x:v>名古屋大学</x:v>
      </x:c>
      <x:c r="C72" s="2" t="str">
        <x:v>情報学研究科</x:v>
      </x:c>
      <x:c r="D72" s="2" t="str">
        <x:v>知能システム学専攻</x:v>
      </x:c>
      <x:c r="E72" s="2" t="str">
        <x:v>专攻/课程</x:v>
      </x:c>
      <x:c r="F72" s="2" t="str">
        <x:v>nagoya-university/informatics/aisys</x:v>
      </x:c>
      <x:c r="G72" s="27" t="str">
        <x:v>https://www.i.nagoya-u.ac.jp/gs/entranceexamination/</x:v>
      </x:c>
      <x:c r="H72" s="2" t="str">
        <x:v>精确到专攻/项目</x:v>
      </x:c>
      <x:c r="I72" s="2" t="str">
        <x:v>2024–2026</x:v>
      </x:c>
      <x:c r="J72" s="27" t="str">
        <x:v>第1次・第2次及び年度合計の志願者、受験者、合格者を確認。2025–2026は入学者数も掲載。</x:v>
      </x:c>
      <x:c r="K72" s="27" t="str">
        <x:v>https://www.i.nagoya-u.ac.jp/gs/entranceexamination/past_exam/</x:v>
      </x:c>
      <x:c r="L72" s="44" t="n">
        <x:v>9</x:v>
      </x:c>
      <x:c r="M72" s="21" t="str">
        <x:v>2026-08-28</x:v>
      </x:c>
    </x:row>
    <x:row r="73" ht="34" customHeight="1">
      <x:c r="A73" s="2" t="n">
        <x:v>69</x:v>
      </x:c>
      <x:c r="B73" s="2" t="str">
        <x:v>名古屋大学</x:v>
      </x:c>
      <x:c r="C73" s="2" t="str">
        <x:v>情報学研究科</x:v>
      </x:c>
      <x:c r="D73" s="2" t="str">
        <x:v>複雑系科学専攻</x:v>
      </x:c>
      <x:c r="E73" s="2" t="str">
        <x:v>专攻/课程</x:v>
      </x:c>
      <x:c r="F73" s="2" t="str">
        <x:v>nagoya-university/informatics/complex</x:v>
      </x:c>
      <x:c r="G73" s="27" t="str">
        <x:v>https://www.i.nagoya-u.ac.jp/gs/entranceexamination/</x:v>
      </x:c>
      <x:c r="H73" s="2" t="str">
        <x:v>精确到专攻/项目</x:v>
      </x:c>
      <x:c r="I73" s="2" t="str">
        <x:v>2024–2026</x:v>
      </x:c>
      <x:c r="J73" s="27" t="str">
        <x:v>第1次・第2次及び年度合計の志願者、受験者、合格者を確認。2025–2026は入学者数も掲載。</x:v>
      </x:c>
      <x:c r="K73" s="27" t="str">
        <x:v>https://www.i.nagoya-u.ac.jp/gs/entranceexamination/past_exam/</x:v>
      </x:c>
      <x:c r="L73" s="44" t="n">
        <x:v>9</x:v>
      </x:c>
      <x:c r="M73" s="21" t="str">
        <x:v>2026-08-28</x:v>
      </x:c>
    </x:row>
    <x:row r="74" ht="34" customHeight="1">
      <x:c r="A74" s="2" t="n">
        <x:v>70</x:v>
      </x:c>
      <x:c r="B74" s="2" t="str">
        <x:v>名古屋大学</x:v>
      </x:c>
      <x:c r="C74" s="2" t="str">
        <x:v>情報学研究科</x:v>
      </x:c>
      <x:c r="D74" s="2" t="str">
        <x:v>情報システム学専攻</x:v>
      </x:c>
      <x:c r="E74" s="2" t="str">
        <x:v>专攻/课程</x:v>
      </x:c>
      <x:c r="F74" s="2" t="str">
        <x:v>nagoya-university/informatics/is</x:v>
      </x:c>
      <x:c r="G74" s="27" t="str">
        <x:v>https://www.i.nagoya-u.ac.jp/gs/entranceexamination/</x:v>
      </x:c>
      <x:c r="H74" s="2" t="str">
        <x:v>精确到专攻/项目</x:v>
      </x:c>
      <x:c r="I74" s="2" t="str">
        <x:v>2024–2026</x:v>
      </x:c>
      <x:c r="J74" s="27" t="str">
        <x:v>第1次・第2次及び年度合計の志願者、受験者、合格者を確認。2025–2026は入学者数も掲載。</x:v>
      </x:c>
      <x:c r="K74" s="27" t="str">
        <x:v>https://www.i.nagoya-u.ac.jp/gs/entranceexamination/past_exam/</x:v>
      </x:c>
      <x:c r="L74" s="44" t="n">
        <x:v>9</x:v>
      </x:c>
      <x:c r="M74" s="21" t="str">
        <x:v>2026-08-28</x:v>
      </x:c>
    </x:row>
    <x:row r="75" ht="34" customHeight="1">
      <x:c r="A75" s="2" t="n">
        <x:v>71</x:v>
      </x:c>
      <x:c r="B75" s="2" t="str">
        <x:v>名古屋大学</x:v>
      </x:c>
      <x:c r="C75" s="2" t="str">
        <x:v>情報学研究科</x:v>
      </x:c>
      <x:c r="D75" s="2" t="str">
        <x:v>数理情報学専攻</x:v>
      </x:c>
      <x:c r="E75" s="2" t="str">
        <x:v>专攻/课程</x:v>
      </x:c>
      <x:c r="F75" s="2" t="str">
        <x:v>nagoya-university/informatics/mi</x:v>
      </x:c>
      <x:c r="G75" s="27" t="str">
        <x:v>https://www.i.nagoya-u.ac.jp/gs/entranceexamination/</x:v>
      </x:c>
      <x:c r="H75" s="2" t="str">
        <x:v>精确到专攻/项目</x:v>
      </x:c>
      <x:c r="I75" s="2" t="str">
        <x:v>2024–2026</x:v>
      </x:c>
      <x:c r="J75" s="27" t="str">
        <x:v>第1次・第2次及び年度合計の志願者、受験者、合格者を確認。2025–2026は入学者数も掲載。</x:v>
      </x:c>
      <x:c r="K75" s="27" t="str">
        <x:v>https://www.i.nagoya-u.ac.jp/gs/entranceexamination/past_exam/</x:v>
      </x:c>
      <x:c r="L75" s="44" t="n">
        <x:v>9</x:v>
      </x:c>
      <x:c r="M75" s="21" t="str">
        <x:v>2026-08-28</x:v>
      </x:c>
    </x:row>
    <x:row r="76" ht="34" customHeight="1">
      <x:c r="A76" s="2" t="n">
        <x:v>72</x:v>
      </x:c>
      <x:c r="B76" s="2" t="str">
        <x:v>名古屋大学</x:v>
      </x:c>
      <x:c r="C76" s="2" t="str">
        <x:v>多元数理科学研究科</x:v>
      </x:c>
      <x:c r="D76" s="2" t="str">
        <x:v>（研究科层级）</x:v>
      </x:c>
      <x:c r="E76" s="2" t="str">
        <x:v>研究科层级</x:v>
      </x:c>
      <x:c r="F76" s="2" t="str">
        <x:v>nagoya-university/mathematics</x:v>
      </x:c>
      <x:c r="G76" s="27" t="str">
        <x:v>https://www.math.nagoya-u.ac.jp/ja/admission/</x:v>
      </x:c>
      <x:c r="H76" s="2" t="str">
        <x:v>未找到公开统计</x:v>
      </x:c>
      <x:c r="I76" s="2" t="str"/>
      <x:c r="J76" s="27" t="str">
        <x:v>本次核查未发现可验证的公开数值表；保留空白。</x:v>
      </x:c>
      <x:c r="K76" s="27" t="str"/>
      <x:c r="L76" s="44" t="n">
        <x:v>0</x:v>
      </x:c>
      <x:c r="M76" s="21" t="str">
        <x:v>2026-08-28</x:v>
      </x:c>
    </x:row>
    <x:row r="77" ht="34" customHeight="1">
      <x:c r="A77" s="2" t="n">
        <x:v>73</x:v>
      </x:c>
      <x:c r="B77" s="2" t="str">
        <x:v>名古屋大学</x:v>
      </x:c>
      <x:c r="C77" s="2" t="str">
        <x:v>理学研究科</x:v>
      </x:c>
      <x:c r="D77" s="2" t="str">
        <x:v>物理学教室 (理学専攻 物質科学領域)</x:v>
      </x:c>
      <x:c r="E77" s="2" t="str">
        <x:v>专攻/课程</x:v>
      </x:c>
      <x:c r="F77" s="2" t="str">
        <x:v>nagoya-university/science/phys</x:v>
      </x:c>
      <x:c r="G77" s="27" t="str">
        <x:v>https://www.sci.nagoya-u.ac.jp/graduate/index.html</x:v>
      </x:c>
      <x:c r="H77" s="2" t="str">
        <x:v>精确到专攻/项目</x:v>
      </x:c>
      <x:c r="I77" s="2" t="str">
        <x:v>2022、2026</x:v>
      </x:c>
      <x:c r="J77" s="27" t="str">
        <x:v>现行官网按领域公开定员、志愿者、合格者、入学者；项目旧称已映射到现行组织名。</x:v>
      </x:c>
      <x:c r="K77" s="27" t="str">
        <x:v>https://www.sci.nagoya-u.ac.jp/admission/past-entry/</x:v>
      </x:c>
      <x:c r="L77" s="44" t="n">
        <x:v>0</x:v>
      </x:c>
      <x:c r="M77" s="21" t="str">
        <x:v>2026-08-28</x:v>
      </x:c>
    </x:row>
    <x:row r="78" ht="34" customHeight="1">
      <x:c r="A78" s="2" t="n">
        <x:v>74</x:v>
      </x:c>
      <x:c r="B78" s="2" t="str">
        <x:v>名古屋大学</x:v>
      </x:c>
      <x:c r="C78" s="2" t="str">
        <x:v>理学研究科</x:v>
      </x:c>
      <x:c r="D78" s="2" t="str">
        <x:v>化学講座 (理学専攻 物質・生命化学領域)</x:v>
      </x:c>
      <x:c r="E78" s="2" t="str">
        <x:v>专攻/课程</x:v>
      </x:c>
      <x:c r="F78" s="2" t="str">
        <x:v>nagoya-university/science/chem</x:v>
      </x:c>
      <x:c r="G78" s="27" t="str">
        <x:v>https://www.sci.nagoya-u.ac.jp/graduate/index.html</x:v>
      </x:c>
      <x:c r="H78" s="2" t="str">
        <x:v>精确到专攻/项目</x:v>
      </x:c>
      <x:c r="I78" s="2" t="str">
        <x:v>2022–2026</x:v>
      </x:c>
      <x:c r="J78" s="27" t="str">
        <x:v>现行官网按领域公开定员、志愿者、合格者、入学者；项目旧称已映射到现行组织名。</x:v>
      </x:c>
      <x:c r="K78" s="27" t="str">
        <x:v>https://www.sci.nagoya-u.ac.jp/admission/past-entry/</x:v>
      </x:c>
      <x:c r="L78" s="44" t="n">
        <x:v>5</x:v>
      </x:c>
      <x:c r="M78" s="21" t="str">
        <x:v>2026-08-28</x:v>
      </x:c>
    </x:row>
    <x:row r="79" ht="34" customHeight="1">
      <x:c r="A79" s="2" t="n">
        <x:v>75</x:v>
      </x:c>
      <x:c r="B79" s="2" t="str">
        <x:v>名古屋大学</x:v>
      </x:c>
      <x:c r="C79" s="2" t="str">
        <x:v>理学研究科</x:v>
      </x:c>
      <x:c r="D79" s="2" t="str">
        <x:v>生命理学領域</x:v>
      </x:c>
      <x:c r="E79" s="2" t="str">
        <x:v>专攻/课程</x:v>
      </x:c>
      <x:c r="F79" s="2" t="str">
        <x:v>nagoya-university/science/bio</x:v>
      </x:c>
      <x:c r="G79" s="27" t="str">
        <x:v>https://www.sci.nagoya-u.ac.jp/graduate/index.html</x:v>
      </x:c>
      <x:c r="H79" s="2" t="str">
        <x:v>精确到专攻/项目</x:v>
      </x:c>
      <x:c r="I79" s="2" t="str">
        <x:v>2022–2026</x:v>
      </x:c>
      <x:c r="J79" s="27" t="str">
        <x:v>官网按领域公开定员、志愿者、合格者、入学者。</x:v>
      </x:c>
      <x:c r="K79" s="27" t="str">
        <x:v>https://www.sci.nagoya-u.ac.jp/admission/past-entry/</x:v>
      </x:c>
      <x:c r="L79" s="44" t="n">
        <x:v>5</x:v>
      </x:c>
      <x:c r="M79" s="21" t="str">
        <x:v>2026-08-28</x:v>
      </x:c>
    </x:row>
    <x:row r="80" ht="34" customHeight="1">
      <x:c r="A80" s="2" t="n">
        <x:v>76</x:v>
      </x:c>
      <x:c r="B80" s="2" t="str">
        <x:v>東京科学大学（旧・東京工業大学）</x:v>
      </x:c>
      <x:c r="C80" s="2" t="str">
        <x:v>工学院</x:v>
      </x:c>
      <x:c r="D80" s="2" t="str">
        <x:v>電気電子系</x:v>
      </x:c>
      <x:c r="E80" s="2" t="str">
        <x:v>专攻/课程</x:v>
      </x:c>
      <x:c r="F80" s="2" t="str">
        <x:v>TITech/engineering/ee</x:v>
      </x:c>
      <x:c r="G80" s="27" t="str">
        <x:v>https://www.titech.ac.jp/admissions/prospective-students/admissions/guide</x:v>
      </x:c>
      <x:c r="H80" s="2" t="str">
        <x:v>精确到专攻/项目</x:v>
      </x:c>
      <x:c r="I80" s="2" t="str">
        <x:v>2022–2026</x:v>
      </x:c>
      <x:c r="J80" s="27" t="str">
        <x:v>系別の志願者数・合格者数を公式年次PDFで確認。系別定員、受験者数、入学者数は未掲載。</x:v>
      </x:c>
      <x:c r="K80" s="27" t="str">
        <x:v>https://admissions.isct.ac.jp/ja/013/graduate/data</x:v>
      </x:c>
      <x:c r="L80" s="44" t="n">
        <x:v>5</x:v>
      </x:c>
      <x:c r="M80" s="21" t="str">
        <x:v>2026-08-28</x:v>
      </x:c>
    </x:row>
    <x:row r="81" ht="34" customHeight="1">
      <x:c r="A81" s="2" t="n">
        <x:v>77</x:v>
      </x:c>
      <x:c r="B81" s="2" t="str">
        <x:v>東京科学大学（旧・東京工業大学）</x:v>
      </x:c>
      <x:c r="C81" s="2" t="str">
        <x:v>工学院</x:v>
      </x:c>
      <x:c r="D81" s="2" t="str">
        <x:v>情報通信系</x:v>
      </x:c>
      <x:c r="E81" s="2" t="str">
        <x:v>专攻/课程</x:v>
      </x:c>
      <x:c r="F81" s="2" t="str">
        <x:v>TITech/engineering/ict</x:v>
      </x:c>
      <x:c r="G81" s="27" t="str">
        <x:v>https://www.titech.ac.jp/admissions/prospective-students/admissions/guide</x:v>
      </x:c>
      <x:c r="H81" s="2" t="str">
        <x:v>精确到专攻/项目</x:v>
      </x:c>
      <x:c r="I81" s="2" t="str">
        <x:v>2022–2026</x:v>
      </x:c>
      <x:c r="J81" s="27" t="str">
        <x:v>系別の志願者数・合格者数を公式年次PDFで確認。系別定員、受験者数、入学者数は未掲載。</x:v>
      </x:c>
      <x:c r="K81" s="27" t="str">
        <x:v>https://admissions.isct.ac.jp/ja/013/graduate/data</x:v>
      </x:c>
      <x:c r="L81" s="44" t="n">
        <x:v>5</x:v>
      </x:c>
      <x:c r="M81" s="21" t="str">
        <x:v>2026-08-28</x:v>
      </x:c>
    </x:row>
    <x:row r="82" ht="34" customHeight="1">
      <x:c r="A82" s="2" t="n">
        <x:v>78</x:v>
      </x:c>
      <x:c r="B82" s="2" t="str">
        <x:v>東京科学大学（旧・東京工業大学）</x:v>
      </x:c>
      <x:c r="C82" s="2" t="str">
        <x:v>工学院</x:v>
      </x:c>
      <x:c r="D82" s="2" t="str">
        <x:v>経営工学系</x:v>
      </x:c>
      <x:c r="E82" s="2" t="str">
        <x:v>专攻/课程</x:v>
      </x:c>
      <x:c r="F82" s="2" t="str">
        <x:v>TITech/engineering/iee</x:v>
      </x:c>
      <x:c r="G82" s="27" t="str">
        <x:v>https://www.titech.ac.jp/admissions/prospective-students/admissions/guide</x:v>
      </x:c>
      <x:c r="H82" s="2" t="str">
        <x:v>精确到专攻/项目</x:v>
      </x:c>
      <x:c r="I82" s="2" t="str">
        <x:v>2022–2026</x:v>
      </x:c>
      <x:c r="J82" s="27" t="str">
        <x:v>系別の志願者数・合格者数を公式年次PDFで確認。系別定員、受験者数、入学者数は未掲載。</x:v>
      </x:c>
      <x:c r="K82" s="27" t="str">
        <x:v>https://admissions.isct.ac.jp/ja/013/graduate/data</x:v>
      </x:c>
      <x:c r="L82" s="44" t="n">
        <x:v>5</x:v>
      </x:c>
      <x:c r="M82" s="21" t="str">
        <x:v>2026-08-28</x:v>
      </x:c>
    </x:row>
    <x:row r="83" ht="34" customHeight="1">
      <x:c r="A83" s="2" t="n">
        <x:v>79</x:v>
      </x:c>
      <x:c r="B83" s="2" t="str">
        <x:v>東京科学大学（旧・東京工業大学）</x:v>
      </x:c>
      <x:c r="C83" s="2" t="str">
        <x:v>工学院</x:v>
      </x:c>
      <x:c r="D83" s="2" t="str">
        <x:v>機械系</x:v>
      </x:c>
      <x:c r="E83" s="2" t="str">
        <x:v>专攻/课程</x:v>
      </x:c>
      <x:c r="F83" s="2" t="str">
        <x:v>TITech/engineering/mech</x:v>
      </x:c>
      <x:c r="G83" s="27" t="str">
        <x:v>https://www.titech.ac.jp/admissions/prospective-students/admissions/guide</x:v>
      </x:c>
      <x:c r="H83" s="2" t="str">
        <x:v>精确到专攻/项目</x:v>
      </x:c>
      <x:c r="I83" s="2" t="str">
        <x:v>2022–2026</x:v>
      </x:c>
      <x:c r="J83" s="27" t="str">
        <x:v>系別の志願者数・合格者数を公式年次PDFで確認。系別定員、受験者数、入学者数は未掲載。</x:v>
      </x:c>
      <x:c r="K83" s="27" t="str">
        <x:v>https://admissions.isct.ac.jp/ja/013/graduate/data</x:v>
      </x:c>
      <x:c r="L83" s="44" t="n">
        <x:v>5</x:v>
      </x:c>
      <x:c r="M83" s="21" t="str">
        <x:v>2026-08-28</x:v>
      </x:c>
    </x:row>
    <x:row r="84" ht="34" customHeight="1">
      <x:c r="A84" s="2" t="n">
        <x:v>80</x:v>
      </x:c>
      <x:c r="B84" s="2" t="str">
        <x:v>東京科学大学（旧・東京工業大学）</x:v>
      </x:c>
      <x:c r="C84" s="2" t="str">
        <x:v>工学院</x:v>
      </x:c>
      <x:c r="D84" s="2" t="str">
        <x:v>システム制御系</x:v>
      </x:c>
      <x:c r="E84" s="2" t="str">
        <x:v>专攻/课程</x:v>
      </x:c>
      <x:c r="F84" s="2" t="str">
        <x:v>TITech/engineering/sc</x:v>
      </x:c>
      <x:c r="G84" s="27" t="str">
        <x:v>https://www.titech.ac.jp/admissions/prospective-students/admissions/guide</x:v>
      </x:c>
      <x:c r="H84" s="2" t="str">
        <x:v>精确到专攻/项目</x:v>
      </x:c>
      <x:c r="I84" s="2" t="str">
        <x:v>2022–2026</x:v>
      </x:c>
      <x:c r="J84" s="27" t="str">
        <x:v>系別の志願者数・合格者数を公式年次PDFで確認。系別定員、受験者数、入学者数は未掲載。</x:v>
      </x:c>
      <x:c r="K84" s="27" t="str">
        <x:v>https://admissions.isct.ac.jp/ja/013/graduate/data</x:v>
      </x:c>
      <x:c r="L84" s="44" t="n">
        <x:v>5</x:v>
      </x:c>
      <x:c r="M84" s="21" t="str">
        <x:v>2026-08-28</x:v>
      </x:c>
    </x:row>
    <x:row r="85" ht="34" customHeight="1">
      <x:c r="A85" s="2" t="n">
        <x:v>81</x:v>
      </x:c>
      <x:c r="B85" s="2" t="str">
        <x:v>東京科学大学（旧・東京工業大学）</x:v>
      </x:c>
      <x:c r="C85" s="2" t="str">
        <x:v>環境・社会理工学院</x:v>
      </x:c>
      <x:c r="D85" s="2" t="str">
        <x:v>土木・環境工学系</x:v>
      </x:c>
      <x:c r="E85" s="2" t="str">
        <x:v>专攻/课程</x:v>
      </x:c>
      <x:c r="F85" s="2" t="str">
        <x:v>TITech/environment_and_society/cv</x:v>
      </x:c>
      <x:c r="G85" s="27" t="str">
        <x:v>https://www.titech.ac.jp/admissions/prospective-students/admissions/guide</x:v>
      </x:c>
      <x:c r="H85" s="2" t="str">
        <x:v>精确到专攻/项目</x:v>
      </x:c>
      <x:c r="I85" s="2" t="str">
        <x:v>2022–2026</x:v>
      </x:c>
      <x:c r="J85" s="27" t="str">
        <x:v>系別の志願者数・合格者数を公式年次PDFで確認。系別定員、受験者数、入学者数は未掲載。</x:v>
      </x:c>
      <x:c r="K85" s="27" t="str">
        <x:v>https://admissions.isct.ac.jp/ja/013/graduate/data</x:v>
      </x:c>
      <x:c r="L85" s="44" t="n">
        <x:v>5</x:v>
      </x:c>
      <x:c r="M85" s="21" t="str">
        <x:v>2026-08-28</x:v>
      </x:c>
    </x:row>
    <x:row r="86" ht="34" customHeight="1">
      <x:c r="A86" s="2" t="n">
        <x:v>82</x:v>
      </x:c>
      <x:c r="B86" s="2" t="str">
        <x:v>東京科学大学（旧・東京工業大学）</x:v>
      </x:c>
      <x:c r="C86" s="2" t="str">
        <x:v>環境・社会理工学院</x:v>
      </x:c>
      <x:c r="D86" s="2" t="str">
        <x:v>融合理工学系</x:v>
      </x:c>
      <x:c r="E86" s="2" t="str">
        <x:v>专攻/课程</x:v>
      </x:c>
      <x:c r="F86" s="2" t="str">
        <x:v>TITech/environment_and_society/tse</x:v>
      </x:c>
      <x:c r="G86" s="27" t="str">
        <x:v>https://www.titech.ac.jp/admissions/prospective-students/admissions/guide</x:v>
      </x:c>
      <x:c r="H86" s="2" t="str">
        <x:v>精确到专攻/项目</x:v>
      </x:c>
      <x:c r="I86" s="2" t="str">
        <x:v>2022–2026</x:v>
      </x:c>
      <x:c r="J86" s="27" t="str">
        <x:v>系別の志願者数・合格者数を公式年次PDFで確認。系別定員、受験者数、入学者数は未掲載。</x:v>
      </x:c>
      <x:c r="K86" s="27" t="str">
        <x:v>https://admissions.isct.ac.jp/ja/013/graduate/data</x:v>
      </x:c>
      <x:c r="L86" s="44" t="n">
        <x:v>5</x:v>
      </x:c>
      <x:c r="M86" s="21" t="str">
        <x:v>2026-08-28</x:v>
      </x:c>
    </x:row>
    <x:row r="87" ht="34" customHeight="1">
      <x:c r="A87" s="2" t="n">
        <x:v>83</x:v>
      </x:c>
      <x:c r="B87" s="2" t="str">
        <x:v>東京科学大学（旧・東京工業大学）</x:v>
      </x:c>
      <x:c r="C87" s="2" t="str">
        <x:v>情報理工学院</x:v>
      </x:c>
      <x:c r="D87" s="2" t="str">
        <x:v>情報工学系</x:v>
      </x:c>
      <x:c r="E87" s="2" t="str">
        <x:v>专攻/课程</x:v>
      </x:c>
      <x:c r="F87" s="2" t="str">
        <x:v>TITech/MCS/cs</x:v>
      </x:c>
      <x:c r="G87" s="27" t="str">
        <x:v>https://www.titech.ac.jp/admissions/prospective-students/admissions/guide</x:v>
      </x:c>
      <x:c r="H87" s="2" t="str">
        <x:v>精确到专攻/项目</x:v>
      </x:c>
      <x:c r="I87" s="2" t="str">
        <x:v>2022–2026</x:v>
      </x:c>
      <x:c r="J87" s="27" t="str">
        <x:v>系別の志願者数・合格者数を公式年次PDFで確認。系別定員、受験者数、入学者数は未掲載。</x:v>
      </x:c>
      <x:c r="K87" s="27" t="str">
        <x:v>https://admissions.isct.ac.jp/ja/013/graduate/data</x:v>
      </x:c>
      <x:c r="L87" s="44" t="n">
        <x:v>5</x:v>
      </x:c>
      <x:c r="M87" s="21" t="str">
        <x:v>2026-08-28</x:v>
      </x:c>
    </x:row>
    <x:row r="88" ht="34" customHeight="1">
      <x:c r="A88" s="2" t="n">
        <x:v>84</x:v>
      </x:c>
      <x:c r="B88" s="2" t="str">
        <x:v>東京科学大学（旧・東京工業大学）</x:v>
      </x:c>
      <x:c r="C88" s="2" t="str">
        <x:v>情報理工学院</x:v>
      </x:c>
      <x:c r="D88" s="2" t="str">
        <x:v>数理・計算科学系</x:v>
      </x:c>
      <x:c r="E88" s="2" t="str">
        <x:v>专攻/课程</x:v>
      </x:c>
      <x:c r="F88" s="2" t="str">
        <x:v>TITech/MCS/is</x:v>
      </x:c>
      <x:c r="G88" s="27" t="str">
        <x:v>https://www.titech.ac.jp/admissions/prospective-students/admissions/guide</x:v>
      </x:c>
      <x:c r="H88" s="2" t="str">
        <x:v>精确到专攻/项目</x:v>
      </x:c>
      <x:c r="I88" s="2" t="str">
        <x:v>2022–2026</x:v>
      </x:c>
      <x:c r="J88" s="27" t="str">
        <x:v>系別の志願者数・合格者数を公式年次PDFで確認。系別定員、受験者数、入学者数は未掲載。</x:v>
      </x:c>
      <x:c r="K88" s="27" t="str">
        <x:v>https://admissions.isct.ac.jp/ja/013/graduate/data</x:v>
      </x:c>
      <x:c r="L88" s="44" t="n">
        <x:v>5</x:v>
      </x:c>
      <x:c r="M88" s="21" t="str">
        <x:v>2026-08-28</x:v>
      </x:c>
    </x:row>
    <x:row r="89" ht="34" customHeight="1">
      <x:c r="A89" s="2" t="n">
        <x:v>85</x:v>
      </x:c>
      <x:c r="B89" s="2" t="str">
        <x:v>東京科学大学（旧・東京工業大学）</x:v>
      </x:c>
      <x:c r="C89" s="2" t="str">
        <x:v>物質理工学院</x:v>
      </x:c>
      <x:c r="D89" s="2" t="str">
        <x:v>材料系</x:v>
      </x:c>
      <x:c r="E89" s="2" t="str">
        <x:v>专攻/课程</x:v>
      </x:c>
      <x:c r="F89" s="2" t="str">
        <x:v>TITech/MCT/mat</x:v>
      </x:c>
      <x:c r="G89" s="27" t="str">
        <x:v>https://www.titech.ac.jp/admissions/prospective-students/admissions/guide</x:v>
      </x:c>
      <x:c r="H89" s="2" t="str">
        <x:v>精确到专攻/项目</x:v>
      </x:c>
      <x:c r="I89" s="2" t="str">
        <x:v>2022–2026</x:v>
      </x:c>
      <x:c r="J89" s="27" t="str">
        <x:v>系別の志願者数・合格者数を公式年次PDFで確認。系別定員、受験者数、入学者数は未掲載。</x:v>
      </x:c>
      <x:c r="K89" s="27" t="str">
        <x:v>https://admissions.isct.ac.jp/ja/013/graduate/data</x:v>
      </x:c>
      <x:c r="L89" s="44" t="n">
        <x:v>5</x:v>
      </x:c>
      <x:c r="M89" s="21" t="str">
        <x:v>2026-08-28</x:v>
      </x:c>
    </x:row>
    <x:row r="90" ht="34" customHeight="1">
      <x:c r="A90" s="2" t="n">
        <x:v>86</x:v>
      </x:c>
      <x:c r="B90" s="2" t="str">
        <x:v>東京科学大学（旧・東京工業大学）</x:v>
      </x:c>
      <x:c r="C90" s="2" t="str">
        <x:v>理学院</x:v>
      </x:c>
      <x:c r="D90" s="2" t="str">
        <x:v>地球惑星科学系</x:v>
      </x:c>
      <x:c r="E90" s="2" t="str">
        <x:v>专攻/课程</x:v>
      </x:c>
      <x:c r="F90" s="2" t="str">
        <x:v>TITech/science/earth</x:v>
      </x:c>
      <x:c r="G90" s="27" t="str">
        <x:v>https://www.titech.ac.jp/admissions/prospective-students/admissions/guide</x:v>
      </x:c>
      <x:c r="H90" s="2" t="str">
        <x:v>精确到专攻/项目</x:v>
      </x:c>
      <x:c r="I90" s="2" t="str">
        <x:v>2022–2026</x:v>
      </x:c>
      <x:c r="J90" s="27" t="str">
        <x:v>系別の志願者数・合格者数を公式年次PDFで確認。系別定員、受験者数、入学者数は未掲載。</x:v>
      </x:c>
      <x:c r="K90" s="27" t="str">
        <x:v>https://admissions.isct.ac.jp/ja/013/graduate/data</x:v>
      </x:c>
      <x:c r="L90" s="44" t="n">
        <x:v>5</x:v>
      </x:c>
      <x:c r="M90" s="21" t="str">
        <x:v>2026-08-28</x:v>
      </x:c>
    </x:row>
    <x:row r="91" ht="34" customHeight="1">
      <x:c r="A91" s="2" t="n">
        <x:v>87</x:v>
      </x:c>
      <x:c r="B91" s="2" t="str">
        <x:v>東京科学大学（旧・東京工業大学）</x:v>
      </x:c>
      <x:c r="C91" s="2" t="str">
        <x:v>理学院</x:v>
      </x:c>
      <x:c r="D91" s="2" t="str">
        <x:v>数学系</x:v>
      </x:c>
      <x:c r="E91" s="2" t="str">
        <x:v>专攻/课程</x:v>
      </x:c>
      <x:c r="F91" s="2" t="str">
        <x:v>TITech/science/math</x:v>
      </x:c>
      <x:c r="G91" s="27" t="str">
        <x:v>https://www.titech.ac.jp/admissions/prospective-students/admissions/guide</x:v>
      </x:c>
      <x:c r="H91" s="2" t="str">
        <x:v>精确到专攻/项目</x:v>
      </x:c>
      <x:c r="I91" s="2" t="str">
        <x:v>2022–2026</x:v>
      </x:c>
      <x:c r="J91" s="27" t="str">
        <x:v>系別の志願者数・合格者数を公式年次PDFで確認。系別定員、受験者数、入学者数は未掲載。</x:v>
      </x:c>
      <x:c r="K91" s="27" t="str">
        <x:v>https://admissions.isct.ac.jp/ja/013/graduate/data</x:v>
      </x:c>
      <x:c r="L91" s="44" t="n">
        <x:v>5</x:v>
      </x:c>
      <x:c r="M91" s="21" t="str">
        <x:v>2026-08-28</x:v>
      </x:c>
    </x:row>
    <x:row r="92" ht="34" customHeight="1">
      <x:c r="A92" s="2" t="n">
        <x:v>88</x:v>
      </x:c>
      <x:c r="B92" s="2" t="str">
        <x:v>東京科学大学（旧・東京工業大学）</x:v>
      </x:c>
      <x:c r="C92" s="2" t="str">
        <x:v>理学院</x:v>
      </x:c>
      <x:c r="D92" s="2" t="str">
        <x:v>物理学系</x:v>
      </x:c>
      <x:c r="E92" s="2" t="str">
        <x:v>专攻/课程</x:v>
      </x:c>
      <x:c r="F92" s="2" t="str">
        <x:v>TITech/science/phys</x:v>
      </x:c>
      <x:c r="G92" s="27" t="str">
        <x:v>https://www.titech.ac.jp/admissions/prospective-students/admissions/guide</x:v>
      </x:c>
      <x:c r="H92" s="2" t="str">
        <x:v>精确到专攻/项目</x:v>
      </x:c>
      <x:c r="I92" s="2" t="str">
        <x:v>2022–2026</x:v>
      </x:c>
      <x:c r="J92" s="27" t="str">
        <x:v>系別の志願者数・合格者数を公式年次PDFで確認。系別定員、受験者数、入学者数は未掲載。</x:v>
      </x:c>
      <x:c r="K92" s="27" t="str">
        <x:v>https://admissions.isct.ac.jp/ja/013/graduate/data</x:v>
      </x:c>
      <x:c r="L92" s="44" t="n">
        <x:v>5</x:v>
      </x:c>
      <x:c r="M92" s="21" t="str">
        <x:v>2026-08-28</x:v>
      </x:c>
    </x:row>
    <x:row r="93" ht="34" customHeight="1">
      <x:c r="A93" s="2" t="n">
        <x:v>89</x:v>
      </x:c>
      <x:c r="B93" s="2" t="str">
        <x:v>東京科学大学（旧・東京工業大学）</x:v>
      </x:c>
      <x:c r="C93" s="2" t="str">
        <x:v>生命理工学院</x:v>
      </x:c>
      <x:c r="D93" s="2" t="str">
        <x:v>生命理工学系</x:v>
      </x:c>
      <x:c r="E93" s="2" t="str">
        <x:v>专攻/课程</x:v>
      </x:c>
      <x:c r="F93" s="2" t="str">
        <x:v>TITech/life_science_and_technology/lst</x:v>
      </x:c>
      <x:c r="G93" s="27" t="str">
        <x:v>https://www.titech.ac.jp/admissions/prospective-students/admissions/guide</x:v>
      </x:c>
      <x:c r="H93" s="2" t="str">
        <x:v>精确到专攻/项目</x:v>
      </x:c>
      <x:c r="I93" s="2" t="str">
        <x:v>2022–2026</x:v>
      </x:c>
      <x:c r="J93" s="27" t="str">
        <x:v>系別の志願者数・合格者数を公式年次PDFで確認。系別定員、受験者数、入学者数は未掲載。</x:v>
      </x:c>
      <x:c r="K93" s="27" t="str">
        <x:v>https://admissions.isct.ac.jp/ja/013/graduate/data</x:v>
      </x:c>
      <x:c r="L93" s="44" t="n">
        <x:v>5</x:v>
      </x:c>
      <x:c r="M93" s="21" t="str">
        <x:v>2026-08-28</x:v>
      </x:c>
    </x:row>
    <x:row r="94" ht="34" customHeight="1">
      <x:c r="A94" s="2" t="n">
        <x:v>90</x:v>
      </x:c>
      <x:c r="B94" s="2" t="str">
        <x:v>北海道大学</x:v>
      </x:c>
      <x:c r="C94" s="2" t="str">
        <x:v>水産科学院 海洋生物資源科学専攻</x:v>
      </x:c>
      <x:c r="D94" s="2" t="str">
        <x:v>（研究科层级）</x:v>
      </x:c>
      <x:c r="E94" s="2" t="str">
        <x:v>研究科层级</x:v>
      </x:c>
      <x:c r="F94" s="2" t="str">
        <x:v>hokkaido-university/fisheries_sciences</x:v>
      </x:c>
      <x:c r="G94" s="27" t="str">
        <x:v>https://www2.fish.hokudai.ac.jp/admission/mcdc.html</x:v>
      </x:c>
      <x:c r="H94" s="2" t="str">
        <x:v>精确到专攻/项目</x:v>
      </x:c>
      <x:c r="I94" s="2" t="str">
        <x:v>2025–2026</x:v>
      </x:c>
      <x:c r="J94" s="27" t="str"/>
      <x:c r="K94" s="27" t="str">
        <x:v>https://www2.fish.hokudai.ac.jp/department-graduate-school/officer.html</x:v>
      </x:c>
      <x:c r="L94" s="44" t="n">
        <x:v>2</x:v>
      </x:c>
      <x:c r="M94" s="21" t="str">
        <x:v>2026-08-28</x:v>
      </x:c>
    </x:row>
    <x:row r="95" ht="34" customHeight="1">
      <x:c r="A95" s="2" t="n">
        <x:v>91</x:v>
      </x:c>
      <x:c r="B95" s="2" t="str">
        <x:v>北海道大学</x:v>
      </x:c>
      <x:c r="C95" s="2" t="str">
        <x:v>情報科学院</x:v>
      </x:c>
      <x:c r="D95" s="2" t="str">
        <x:v>情報科学専攻 情報理工学コース</x:v>
      </x:c>
      <x:c r="E95" s="2" t="str">
        <x:v>专攻/课程</x:v>
      </x:c>
      <x:c r="F95" s="2" t="str">
        <x:v>hokkaido-university/IST/csit</x:v>
      </x:c>
      <x:c r="G95" s="27" t="str">
        <x:v>https://www.ist.hokudai.ac.jp/examinfo/</x:v>
      </x:c>
      <x:c r="H95" s="2" t="str">
        <x:v>仅上位层级合计</x:v>
      </x:c>
      <x:c r="I95" s="2" t="str">
        <x:v>2024–2026</x:v>
      </x:c>
      <x:c r="J95" s="27" t="str">
        <x:v>官网只按信息科学专攻整体发布志愿者和合格者，未拆到5课程；已记录专攻合计。</x:v>
      </x:c>
      <x:c r="K95" s="27" t="str">
        <x:v>https://www.ist.hokudai.ac.jp/news/</x:v>
      </x:c>
      <x:c r="L95" s="44" t="n">
        <x:v>0</x:v>
      </x:c>
      <x:c r="M95" s="21" t="str">
        <x:v>2026-08-28</x:v>
      </x:c>
    </x:row>
    <x:row r="96" ht="34" customHeight="1">
      <x:c r="A96" s="2" t="n">
        <x:v>92</x:v>
      </x:c>
      <x:c r="B96" s="2" t="str">
        <x:v>北海道大学</x:v>
      </x:c>
      <x:c r="C96" s="2" t="str">
        <x:v>情報科学院</x:v>
      </x:c>
      <x:c r="D96" s="2" t="str">
        <x:v>情報科学専攻 情報エレクトロニクスコース</x:v>
      </x:c>
      <x:c r="E96" s="2" t="str">
        <x:v>专攻/课程</x:v>
      </x:c>
      <x:c r="F96" s="2" t="str">
        <x:v>hokkaido-university/IST/joele</x:v>
      </x:c>
      <x:c r="G96" s="27" t="str">
        <x:v>https://www.ist.hokudai.ac.jp/examinfo/</x:v>
      </x:c>
      <x:c r="H96" s="2" t="str">
        <x:v>仅上位层级合计</x:v>
      </x:c>
      <x:c r="I96" s="2" t="str">
        <x:v>2024–2026</x:v>
      </x:c>
      <x:c r="J96" s="27" t="str">
        <x:v>官网只按信息科学专攻整体发布志愿者和合格者，未拆到5课程；已记录专攻合计。</x:v>
      </x:c>
      <x:c r="K96" s="27" t="str">
        <x:v>https://www.ist.hokudai.ac.jp/news/</x:v>
      </x:c>
      <x:c r="L96" s="44" t="n">
        <x:v>0</x:v>
      </x:c>
      <x:c r="M96" s="21" t="str">
        <x:v>2026-08-28</x:v>
      </x:c>
    </x:row>
    <x:row r="97" ht="34" customHeight="1">
      <x:c r="A97" s="2" t="n">
        <x:v>93</x:v>
      </x:c>
      <x:c r="B97" s="2" t="str">
        <x:v>北海道大学</x:v>
      </x:c>
      <x:c r="C97" s="2" t="str">
        <x:v>情報科学院</x:v>
      </x:c>
      <x:c r="D97" s="2" t="str">
        <x:v>情報科学専攻 メディアネットワークコース</x:v>
      </x:c>
      <x:c r="E97" s="2" t="str">
        <x:v>专攻/课程</x:v>
      </x:c>
      <x:c r="F97" s="2" t="str">
        <x:v>hokkaido-university/IST/mn</x:v>
      </x:c>
      <x:c r="G97" s="27" t="str">
        <x:v>https://www.ist.hokudai.ac.jp/examinfo/</x:v>
      </x:c>
      <x:c r="H97" s="2" t="str">
        <x:v>仅上位层级合计</x:v>
      </x:c>
      <x:c r="I97" s="2" t="str">
        <x:v>2024–2026</x:v>
      </x:c>
      <x:c r="J97" s="27" t="str">
        <x:v>官网只按信息科学专攻整体发布志愿者和合格者，未拆到5课程；已记录专攻合计。</x:v>
      </x:c>
      <x:c r="K97" s="27" t="str">
        <x:v>https://www.ist.hokudai.ac.jp/news/</x:v>
      </x:c>
      <x:c r="L97" s="44" t="n">
        <x:v>0</x:v>
      </x:c>
      <x:c r="M97" s="21" t="str">
        <x:v>2026-08-28</x:v>
      </x:c>
    </x:row>
    <x:row r="98" ht="34" customHeight="1">
      <x:c r="A98" s="2" t="n">
        <x:v>94</x:v>
      </x:c>
      <x:c r="B98" s="2" t="str">
        <x:v>北海道大学</x:v>
      </x:c>
      <x:c r="C98" s="2" t="str">
        <x:v>情報科学院</x:v>
      </x:c>
      <x:c r="D98" s="2" t="str">
        <x:v>情報科学専攻 生体情報工学コース</x:v>
      </x:c>
      <x:c r="E98" s="2" t="str">
        <x:v>专攻/课程</x:v>
      </x:c>
      <x:c r="F98" s="2" t="str">
        <x:v>hokkaido-university/IST/seitai</x:v>
      </x:c>
      <x:c r="G98" s="27" t="str">
        <x:v>https://www.ist.hokudai.ac.jp/examinfo/</x:v>
      </x:c>
      <x:c r="H98" s="2" t="str">
        <x:v>仅上位层级合计</x:v>
      </x:c>
      <x:c r="I98" s="2" t="str">
        <x:v>2024–2026</x:v>
      </x:c>
      <x:c r="J98" s="27" t="str">
        <x:v>官网只按信息科学专攻整体发布志愿者和合格者，未拆到5课程；已记录专攻合计。</x:v>
      </x:c>
      <x:c r="K98" s="27" t="str">
        <x:v>https://www.ist.hokudai.ac.jp/news/</x:v>
      </x:c>
      <x:c r="L98" s="44" t="n">
        <x:v>0</x:v>
      </x:c>
      <x:c r="M98" s="21" t="str">
        <x:v>2026-08-28</x:v>
      </x:c>
    </x:row>
    <x:row r="99" ht="34" customHeight="1">
      <x:c r="A99" s="2" t="n">
        <x:v>95</x:v>
      </x:c>
      <x:c r="B99" s="2" t="str">
        <x:v>北海道大学</x:v>
      </x:c>
      <x:c r="C99" s="2" t="str">
        <x:v>情報科学院</x:v>
      </x:c>
      <x:c r="D99" s="2" t="str">
        <x:v>情報科学専攻 システム情報科学コース</x:v>
      </x:c>
      <x:c r="E99" s="2" t="str">
        <x:v>专攻/课程</x:v>
      </x:c>
      <x:c r="F99" s="2" t="str">
        <x:v>hokkaido-university/IST/sys</x:v>
      </x:c>
      <x:c r="G99" s="27" t="str">
        <x:v>https://www.ist.hokudai.ac.jp/examinfo/</x:v>
      </x:c>
      <x:c r="H99" s="2" t="str">
        <x:v>仅上位层级合计</x:v>
      </x:c>
      <x:c r="I99" s="2" t="str">
        <x:v>2024–2026</x:v>
      </x:c>
      <x:c r="J99" s="27" t="str">
        <x:v>官网只按信息科学专攻整体发布志愿者和合格者，未拆到5课程；已记录专攻合计。</x:v>
      </x:c>
      <x:c r="K99" s="27" t="str">
        <x:v>https://www.ist.hokudai.ac.jp/news/</x:v>
      </x:c>
      <x:c r="L99" s="44" t="n">
        <x:v>0</x:v>
      </x:c>
      <x:c r="M99" s="21" t="str">
        <x:v>2026-08-28</x:v>
      </x:c>
    </x:row>
    <x:row r="100" ht="34" customHeight="1">
      <x:c r="A100" s="2" t="n">
        <x:v>96</x:v>
      </x:c>
      <x:c r="B100" s="2" t="str">
        <x:v>北海道大学</x:v>
      </x:c>
      <x:c r="C100" s="2" t="str">
        <x:v>公共政策大学院</x:v>
      </x:c>
      <x:c r="D100" s="2" t="str">
        <x:v>（研究科层级）</x:v>
      </x:c>
      <x:c r="E100" s="2" t="str">
        <x:v>研究科层级</x:v>
      </x:c>
      <x:c r="F100" s="2" t="str">
        <x:v>hokkaido-university/public_policy</x:v>
      </x:c>
      <x:c r="G100" s="27" t="str">
        <x:v>https://www.hops.hokudai.ac.jp/admission/</x:v>
      </x:c>
      <x:c r="H100" s="2" t="str">
        <x:v>精确到专攻/项目</x:v>
      </x:c>
      <x:c r="I100" s="2" t="str">
        <x:v>2022–2026</x:v>
      </x:c>
      <x:c r="J100" s="27" t="str"/>
      <x:c r="K100" s="27" t="str">
        <x:v>https://www.hops.hokudai.ac.jp/admission/past-result/</x:v>
      </x:c>
      <x:c r="L100" s="44" t="n">
        <x:v>20</x:v>
      </x:c>
      <x:c r="M100" s="21" t="str">
        <x:v>2026-08-28</x:v>
      </x:c>
    </x:row>
    <x:row r="101" ht="34" customHeight="1">
      <x:c r="A101" s="2" t="n">
        <x:v>97</x:v>
      </x:c>
      <x:c r="B101" s="2" t="str">
        <x:v>北海道大学</x:v>
      </x:c>
      <x:c r="C101" s="2" t="str">
        <x:v>理学院</x:v>
      </x:c>
      <x:c r="D101" s="2" t="str">
        <x:v>物性物理学専攻・宇宙理学専攻</x:v>
      </x:c>
      <x:c r="E101" s="2" t="str">
        <x:v>专攻/课程</x:v>
      </x:c>
      <x:c r="F101" s="2" t="str">
        <x:v>hokkaido-university/science/phys</x:v>
      </x:c>
      <x:c r="G101" s="27" t="str">
        <x:v>https://www2.sci.hokudai.ac.jp/gs/admission-guideline</x:v>
      </x:c>
      <x:c r="H101" s="2" t="str">
        <x:v>未找到公开统计</x:v>
      </x:c>
      <x:c r="I101" s="2" t="str">
        <x:v>2022、2026</x:v>
      </x:c>
      <x:c r="J101" s="27" t="str">
        <x:v>未发现官网公开的该专攻逐年志愿者数/合格者数统计。</x:v>
      </x:c>
      <x:c r="K101" s="27" t="str">
        <x:v>https://www2.sci.hokudai.ac.jp/gs/admission</x:v>
      </x:c>
      <x:c r="L101" s="44" t="n">
        <x:v>0</x:v>
      </x:c>
      <x:c r="M101" s="21" t="str">
        <x:v>2026-08-28</x:v>
      </x:c>
    </x:row>
    <x:row r="102" ht="34" customHeight="1">
      <x:c r="A102" s="2" t="n">
        <x:v>98</x:v>
      </x:c>
      <x:c r="B102" s="2" t="str">
        <x:v>九州大学</x:v>
      </x:c>
      <x:c r="C102" s="2" t="str">
        <x:v>経済学府 経済工学専攻</x:v>
      </x:c>
      <x:c r="D102" s="2" t="str">
        <x:v>（研究科层级）</x:v>
      </x:c>
      <x:c r="E102" s="2" t="str">
        <x:v>研究科层级</x:v>
      </x:c>
      <x:c r="F102" s="2" t="str">
        <x:v>kyushu-university/economics</x:v>
      </x:c>
      <x:c r="G102" s="27" t="str">
        <x:v>https://www.econ.kyushu-u.ac.jp/nyushi/</x:v>
      </x:c>
      <x:c r="H102" s="2" t="str">
        <x:v>精确到专攻/项目</x:v>
      </x:c>
      <x:c r="I102" s="2" t="str">
        <x:v>2022</x:v>
      </x:c>
      <x:c r="J102" s="27" t="str"/>
      <x:c r="K102" s="27" t="str">
        <x:v>https://www.econ.kyushu-u.ac.jp/wp-content/uploads/2021/10/955be57cfd6609b1ebecbef99b04d371.pdf</x:v>
      </x:c>
      <x:c r="L102" s="44" t="n">
        <x:v>3</x:v>
      </x:c>
      <x:c r="M102" s="21" t="str">
        <x:v>2026-08-28</x:v>
      </x:c>
    </x:row>
    <x:row r="103" ht="34" customHeight="1">
      <x:c r="A103" s="2" t="n">
        <x:v>99</x:v>
      </x:c>
      <x:c r="B103" s="2" t="str">
        <x:v>九州大学</x:v>
      </x:c>
      <x:c r="C103" s="2" t="str">
        <x:v>工学府</x:v>
      </x:c>
      <x:c r="D103" s="2" t="str">
        <x:v>応用化学専攻</x:v>
      </x:c>
      <x:c r="E103" s="2" t="str">
        <x:v>专攻/课程</x:v>
      </x:c>
      <x:c r="F103" s="2" t="str">
        <x:v>kyushu-university/engineering/ac</x:v>
      </x:c>
      <x:c r="G103" s="27" t="str">
        <x:v>https://www.eng.kyushu-u.ac.jp/admissions.html</x:v>
      </x:c>
      <x:c r="H103" s="2" t="str">
        <x:v>精确到专攻/项目</x:v>
      </x:c>
      <x:c r="I103" s="2" t="str">
        <x:v>2022–2025</x:v>
      </x:c>
      <x:c r="J103" s="27" t="str"/>
      <x:c r="K103" s="27" t="str">
        <x:v>https://www.eng.kyushu-u.ac.jp/script/wordpress/wp-content/uploads/d9042c2b2f4cd4d219c45a82fda65286.pdf</x:v>
      </x:c>
      <x:c r="L103" s="44" t="n">
        <x:v>4</x:v>
      </x:c>
      <x:c r="M103" s="21" t="str">
        <x:v>2026-08-28</x:v>
      </x:c>
    </x:row>
    <x:row r="104" ht="34" customHeight="1">
      <x:c r="A104" s="2" t="n">
        <x:v>100</x:v>
      </x:c>
      <x:c r="B104" s="2" t="str">
        <x:v>九州大学</x:v>
      </x:c>
      <x:c r="C104" s="2" t="str">
        <x:v>工学府</x:v>
      </x:c>
      <x:c r="D104" s="2" t="str">
        <x:v>土木工学専攻</x:v>
      </x:c>
      <x:c r="E104" s="2" t="str">
        <x:v>专攻/课程</x:v>
      </x:c>
      <x:c r="F104" s="2" t="str">
        <x:v>kyushu-university/engineering/civil</x:v>
      </x:c>
      <x:c r="G104" s="27" t="str">
        <x:v>https://www.eng.kyushu-u.ac.jp/admissions.html</x:v>
      </x:c>
      <x:c r="H104" s="2" t="str">
        <x:v>精确到专攻/项目</x:v>
      </x:c>
      <x:c r="I104" s="2" t="str">
        <x:v>2022–2025</x:v>
      </x:c>
      <x:c r="J104" s="27" t="str">
        <x:v>募集要项附表给出逐年志愿者与合格者。</x:v>
      </x:c>
      <x:c r="K104" s="27" t="str">
        <x:v>https://www.eng.kyushu-u.ac.jp/script/wordpress/wp-content/uploads/0c45fa993084b534141aee65b294cac2.pdf</x:v>
      </x:c>
      <x:c r="L104" s="44" t="n">
        <x:v>4</x:v>
      </x:c>
      <x:c r="M104" s="21" t="str">
        <x:v>2026-08-28</x:v>
      </x:c>
    </x:row>
    <x:row r="105" ht="34" customHeight="1">
      <x:c r="A105" s="2" t="n">
        <x:v>101</x:v>
      </x:c>
      <x:c r="B105" s="2" t="str">
        <x:v>九州大学</x:v>
      </x:c>
      <x:c r="C105" s="2" t="str">
        <x:v>工学府</x:v>
      </x:c>
      <x:c r="D105" s="2" t="str">
        <x:v>機械系専攻</x:v>
      </x:c>
      <x:c r="E105" s="2" t="str">
        <x:v>专攻/课程</x:v>
      </x:c>
      <x:c r="F105" s="2" t="str">
        <x:v>kyushu-university/engineering/mech</x:v>
      </x:c>
      <x:c r="G105" s="27" t="str">
        <x:v>https://www.eng.kyushu-u.ac.jp/admissions.html</x:v>
      </x:c>
      <x:c r="H105" s="2" t="str">
        <x:v>精确到专攻/项目</x:v>
      </x:c>
      <x:c r="I105" s="2" t="str">
        <x:v>2022–2025</x:v>
      </x:c>
      <x:c r="J105" s="27" t="str">
        <x:v>按官网现行机械工学专攻映射；志愿者口径含第1/第2志愿，已在行内注明。</x:v>
      </x:c>
      <x:c r="K105" s="27" t="str">
        <x:v>https://www.eng.kyushu-u.ac.jp/script/wordpress/wp-content/uploads/0c45fa993084b534141aee65b294cac2.pdf</x:v>
      </x:c>
      <x:c r="L105" s="44" t="n">
        <x:v>4</x:v>
      </x:c>
      <x:c r="M105" s="21" t="str">
        <x:v>2026-08-28</x:v>
      </x:c>
    </x:row>
    <x:row r="106" ht="34" customHeight="1">
      <x:c r="A106" s="2" t="n">
        <x:v>102</x:v>
      </x:c>
      <x:c r="B106" s="2" t="str">
        <x:v>九州大学</x:v>
      </x:c>
      <x:c r="C106" s="2" t="str">
        <x:v>工学府</x:v>
      </x:c>
      <x:c r="D106" s="2" t="str">
        <x:v>船舶海洋工学専攻</x:v>
      </x:c>
      <x:c r="E106" s="2" t="str">
        <x:v>专攻/课程</x:v>
      </x:c>
      <x:c r="F106" s="2" t="str">
        <x:v>kyushu-university/engineering/nams</x:v>
      </x:c>
      <x:c r="G106" s="27" t="str">
        <x:v>https://www.eng.kyushu-u.ac.jp/admissions.html</x:v>
      </x:c>
      <x:c r="H106" s="2" t="str">
        <x:v>精确到专攻/项目</x:v>
      </x:c>
      <x:c r="I106" s="2" t="str">
        <x:v>2022–2025</x:v>
      </x:c>
      <x:c r="J106" s="27" t="str">
        <x:v>募集要项附表给出逐年志愿者与合格者。</x:v>
      </x:c>
      <x:c r="K106" s="27" t="str">
        <x:v>https://www.eng.kyushu-u.ac.jp/script/wordpress/wp-content/uploads/0c45fa993084b534141aee65b294cac2.pdf</x:v>
      </x:c>
      <x:c r="L106" s="44" t="n">
        <x:v>4</x:v>
      </x:c>
      <x:c r="M106" s="21" t="str">
        <x:v>2026-08-28</x:v>
      </x:c>
    </x:row>
    <x:row r="107" ht="34" customHeight="1">
      <x:c r="A107" s="2" t="n">
        <x:v>103</x:v>
      </x:c>
      <x:c r="B107" s="2" t="str">
        <x:v>九州大学</x:v>
      </x:c>
      <x:c r="C107" s="2" t="str">
        <x:v>工学府</x:v>
      </x:c>
      <x:c r="D107" s="2" t="str">
        <x:v>量子物理工学専攻</x:v>
      </x:c>
      <x:c r="E107" s="2" t="str">
        <x:v>专攻/课程</x:v>
      </x:c>
      <x:c r="F107" s="2" t="str">
        <x:v>kyushu-university/engineering/qpn</x:v>
      </x:c>
      <x:c r="G107" s="27" t="str">
        <x:v>https://www.eng.kyushu-u.ac.jp/admissions.html</x:v>
      </x:c>
      <x:c r="H107" s="2" t="str">
        <x:v>精确到专攻/项目</x:v>
      </x:c>
      <x:c r="I107" s="2" t="str">
        <x:v>2022–2025</x:v>
      </x:c>
      <x:c r="J107" s="27" t="str">
        <x:v>募集要项附表给出逐年志愿者与合格者。</x:v>
      </x:c>
      <x:c r="K107" s="27" t="str">
        <x:v>https://www.eng.kyushu-u.ac.jp/script/wordpress/wp-content/uploads/0c45fa993084b534141aee65b294cac2.pdf</x:v>
      </x:c>
      <x:c r="L107" s="44" t="n">
        <x:v>4</x:v>
      </x:c>
      <x:c r="M107" s="21" t="str">
        <x:v>2026-08-28</x:v>
      </x:c>
    </x:row>
    <x:row r="108" ht="34" customHeight="1">
      <x:c r="A108" s="2" t="n">
        <x:v>104</x:v>
      </x:c>
      <x:c r="B108" s="2" t="str">
        <x:v>九州大学</x:v>
      </x:c>
      <x:c r="C108" s="2" t="str">
        <x:v>システム情報科学府</x:v>
      </x:c>
      <x:c r="D108" s="2" t="str">
        <x:v>情報理工学専攻</x:v>
      </x:c>
      <x:c r="E108" s="2" t="str">
        <x:v>专攻/课程</x:v>
      </x:c>
      <x:c r="F108" s="2" t="str">
        <x:v>kyushu-university/ISEE/ist</x:v>
      </x:c>
      <x:c r="G108" s="27" t="str">
        <x:v>https://www.isee.kyushu-u.ac.jp/admissions_master.html</x:v>
      </x:c>
      <x:c r="H108" s="2" t="str">
        <x:v>未找到公开统计</x:v>
      </x:c>
      <x:c r="I108" s="2" t="str">
        <x:v>2022、2026</x:v>
      </x:c>
      <x:c r="J108" s="27" t="str">
        <x:v>募集要项可确认招生定员，但未发现官网公开的该专攻逐年志愿者/合格者统计；未仅凭定员创建报录比行。</x:v>
      </x:c>
      <x:c r="K108" s="27" t="str">
        <x:v>https://www.isee.kyushu-u.ac.jp/wp/wp-content/uploads/2026mc_general_guidelines.pdf</x:v>
      </x:c>
      <x:c r="L108" s="44" t="n">
        <x:v>0</x:v>
      </x:c>
      <x:c r="M108" s="21" t="str">
        <x:v>2026-08-28</x:v>
      </x:c>
    </x:row>
    <x:row r="109" ht="34" customHeight="1">
      <x:c r="A109" s="2" t="n">
        <x:v>105</x:v>
      </x:c>
      <x:c r="B109" s="2" t="str">
        <x:v>九州大学</x:v>
      </x:c>
      <x:c r="C109" s="2" t="str">
        <x:v>システム情報科学府</x:v>
      </x:c>
      <x:c r="D109" s="2" t="str">
        <x:v>共通</x:v>
      </x:c>
      <x:c r="E109" s="2" t="str">
        <x:v>专攻/课程</x:v>
      </x:c>
      <x:c r="F109" s="2" t="str">
        <x:v>kyushu-university/ISEE/kyotsu</x:v>
      </x:c>
      <x:c r="G109" s="27" t="str">
        <x:v>https://www.isee.kyushu-u.ac.jp/admissions_master.html</x:v>
      </x:c>
      <x:c r="H109" s="2" t="str">
        <x:v>未找到公开统计</x:v>
      </x:c>
      <x:c r="I109" s="2" t="str"/>
      <x:c r="J109" s="27" t="str">
        <x:v>本次核查未发现可验证的公开数值表；保留空白。</x:v>
      </x:c>
      <x:c r="K109" s="27" t="str"/>
      <x:c r="L109" s="44" t="n">
        <x:v>0</x:v>
      </x:c>
      <x:c r="M109" s="21" t="str">
        <x:v>2026-08-28</x:v>
      </x:c>
    </x:row>
    <x:row r="110" ht="34" customHeight="1">
      <x:c r="A110" s="2" t="n">
        <x:v>106</x:v>
      </x:c>
      <x:c r="B110" s="2" t="str">
        <x:v>九州大学</x:v>
      </x:c>
      <x:c r="C110" s="2" t="str">
        <x:v>数理学府</x:v>
      </x:c>
      <x:c r="D110" s="2" t="str">
        <x:v>MMAコース</x:v>
      </x:c>
      <x:c r="E110" s="2" t="str">
        <x:v>专攻/课程</x:v>
      </x:c>
      <x:c r="F110" s="2" t="str">
        <x:v>kyushu-university/mathematics/mma</x:v>
      </x:c>
      <x:c r="G110" s="27" t="str">
        <x:v>https://www.math.kyushu-u.ac.jp/admission/graduateschool/</x:v>
      </x:c>
      <x:c r="H110" s="2" t="str">
        <x:v>精确到专攻/项目</x:v>
      </x:c>
      <x:c r="I110" s="2" t="str">
        <x:v>2026</x:v>
      </x:c>
      <x:c r="J110" s="27" t="str">
        <x:v>官网合格发表明确给出一般选拔合格4名，但未发现同口径志愿者数。</x:v>
      </x:c>
      <x:c r="K110" s="27" t="str">
        <x:v>https://www.math.kyushu-u.ac.jp/wp-content/uploads/2025/08/2025master.pdf</x:v>
      </x:c>
      <x:c r="L110" s="44" t="n">
        <x:v>1</x:v>
      </x:c>
      <x:c r="M110" s="21" t="str">
        <x:v>2026-08-28</x:v>
      </x:c>
    </x:row>
    <x:row r="111" ht="34" customHeight="1">
      <x:c r="A111" s="2" t="n">
        <x:v>107</x:v>
      </x:c>
      <x:c r="B111" s="2" t="str">
        <x:v>九州大学</x:v>
      </x:c>
      <x:c r="C111" s="2" t="str">
        <x:v>数理学府</x:v>
      </x:c>
      <x:c r="D111" s="2" t="str">
        <x:v>数理学コース</x:v>
      </x:c>
      <x:c r="E111" s="2" t="str">
        <x:v>专攻/课程</x:v>
      </x:c>
      <x:c r="F111" s="2" t="str">
        <x:v>kyushu-university/mathematics/suuri</x:v>
      </x:c>
      <x:c r="G111" s="27" t="str">
        <x:v>https://www.math.kyushu-u.ac.jp/admission/graduateschool/</x:v>
      </x:c>
      <x:c r="H111" s="2" t="str">
        <x:v>精确到专攻/项目</x:v>
      </x:c>
      <x:c r="I111" s="2" t="str">
        <x:v>2026</x:v>
      </x:c>
      <x:c r="J111" s="27" t="str">
        <x:v>官网合格发表明确给出一般选拔合格47名，但未发现同口径志愿者数。</x:v>
      </x:c>
      <x:c r="K111" s="27" t="str">
        <x:v>https://www.math.kyushu-u.ac.jp/wp-content/uploads/2025/08/2025master.pdf</x:v>
      </x:c>
      <x:c r="L111" s="44" t="n">
        <x:v>1</x:v>
      </x:c>
      <x:c r="M111" s="21" t="str">
        <x:v>2026-08-28</x:v>
      </x:c>
    </x:row>
    <x:row r="112" ht="34" customHeight="1">
      <x:c r="A112" s="2" t="n">
        <x:v>108</x:v>
      </x:c>
      <x:c r="B112" s="2" t="str">
        <x:v>九州大学</x:v>
      </x:c>
      <x:c r="C112" s="2" t="str">
        <x:v>理学府</x:v>
      </x:c>
      <x:c r="D112" s="2" t="str">
        <x:v>地球惑星科学専攻</x:v>
      </x:c>
      <x:c r="E112" s="2" t="str">
        <x:v>专攻/课程</x:v>
      </x:c>
      <x:c r="F112" s="2" t="str">
        <x:v>kyushu-university/science/geo</x:v>
      </x:c>
      <x:c r="G112" s="27" t="str">
        <x:v>https://www.sci.kyushu-u.ac.jp/admission/daigakuin_master.html</x:v>
      </x:c>
      <x:c r="H112" s="2" t="str">
        <x:v>精确到专攻/项目</x:v>
      </x:c>
      <x:c r="I112" s="2" t="str">
        <x:v>2026</x:v>
      </x:c>
      <x:c r="J112" s="27" t="str">
        <x:v>官网当前页面给出专攻定员、志愿者、合格者、入学者；未在同页保留2022–2025明细。</x:v>
      </x:c>
      <x:c r="K112" s="27" t="str">
        <x:v>https://www.sci.kyushu-u.ac.jp/about/data/graduate.html</x:v>
      </x:c>
      <x:c r="L112" s="44" t="n">
        <x:v>1</x:v>
      </x:c>
      <x:c r="M112" s="21" t="str">
        <x:v>2026-08-28</x:v>
      </x:c>
    </x:row>
    <x:row r="113" ht="34" customHeight="1">
      <x:c r="A113" s="2" t="n">
        <x:v>109</x:v>
      </x:c>
      <x:c r="B113" s="2" t="str">
        <x:v>九州大学</x:v>
      </x:c>
      <x:c r="C113" s="2" t="str">
        <x:v>理学府</x:v>
      </x:c>
      <x:c r="D113" s="2" t="str">
        <x:v>物理学専攻</x:v>
      </x:c>
      <x:c r="E113" s="2" t="str">
        <x:v>专攻/课程</x:v>
      </x:c>
      <x:c r="F113" s="2" t="str">
        <x:v>kyushu-university/science/phys</x:v>
      </x:c>
      <x:c r="G113" s="27" t="str">
        <x:v>https://www.sci.kyushu-u.ac.jp/admission/daigakuin_master.html</x:v>
      </x:c>
      <x:c r="H113" s="2" t="str">
        <x:v>精确到专攻/项目</x:v>
      </x:c>
      <x:c r="I113" s="2" t="str">
        <x:v>2026</x:v>
      </x:c>
      <x:c r="J113" s="27" t="str">
        <x:v>官网当前页面给出专攻定员、志愿者、合格者、入学者；未在同页保留2022–2025明细。</x:v>
      </x:c>
      <x:c r="K113" s="27" t="str">
        <x:v>https://www.sci.kyushu-u.ac.jp/about/data/graduate.html</x:v>
      </x:c>
      <x:c r="L113" s="44" t="n">
        <x:v>1</x:v>
      </x:c>
      <x:c r="M113" s="21" t="str">
        <x:v>2026-08-28</x:v>
      </x:c>
    </x:row>
    <x:row r="114" ht="34" customHeight="1">
      <x:c r="A114" s="2" t="n">
        <x:v>110</x:v>
      </x:c>
      <x:c r="B114" s="2" t="str">
        <x:v>早稲田大学</x:v>
      </x:c>
      <x:c r="C114" s="2" t="str">
        <x:v>先進理工学研究科</x:v>
      </x:c>
      <x:c r="D114" s="2" t="str">
        <x:v>物理学及応用物理学専攻</x:v>
      </x:c>
      <x:c r="E114" s="2" t="str">
        <x:v>专攻/课程</x:v>
      </x:c>
      <x:c r="F114" s="2" t="str">
        <x:v>waseda-university/ASE/butsuri</x:v>
      </x:c>
      <x:c r="G114" s="27" t="str">
        <x:v>https://www.waseda.jp/fsci/admissions_gs/</x:v>
      </x:c>
      <x:c r="H114" s="2" t="str">
        <x:v>未找到公开统计</x:v>
      </x:c>
      <x:c r="I114" s="2" t="str">
        <x:v>2022、2026</x:v>
      </x:c>
      <x:c r="J114" s="27" t="str">
        <x:v>官网发布募集要项、考试题和合格者发表，但本次未发现可核验的逐年专攻别志愿者数/合格者数统计表；不从合格编号或在籍人数推算。</x:v>
      </x:c>
      <x:c r="K114" s="27" t="str">
        <x:v>https://www.waseda.jp/fsci/admissions_gs/</x:v>
      </x:c>
      <x:c r="L114" s="44" t="n">
        <x:v>0</x:v>
      </x:c>
      <x:c r="M114" s="21" t="str">
        <x:v>2026-08-28</x:v>
      </x:c>
    </x:row>
    <x:row r="115" ht="34" customHeight="1">
      <x:c r="A115" s="2" t="n">
        <x:v>111</x:v>
      </x:c>
      <x:c r="B115" s="2" t="str">
        <x:v>早稲田大学</x:v>
      </x:c>
      <x:c r="C115" s="2" t="str">
        <x:v>先進理工学研究科</x:v>
      </x:c>
      <x:c r="D115" s="2" t="str">
        <x:v>共同原子力専攻</x:v>
      </x:c>
      <x:c r="E115" s="2" t="str">
        <x:v>专攻/课程</x:v>
      </x:c>
      <x:c r="F115" s="2" t="str">
        <x:v>waseda-university/ASE/kyodogenshi</x:v>
      </x:c>
      <x:c r="G115" s="27" t="str">
        <x:v>https://www.waseda.jp/fsci/admissions_gs/</x:v>
      </x:c>
      <x:c r="H115" s="2" t="str">
        <x:v>未找到公开统计</x:v>
      </x:c>
      <x:c r="I115" s="2" t="str">
        <x:v>2022、2026</x:v>
      </x:c>
      <x:c r="J115" s="27" t="str">
        <x:v>官网发布募集要项、考试题和合格者发表，但本次未发现可核验的逐年专攻别志愿者数/合格者数统计表；不从合格编号或在籍人数推算。</x:v>
      </x:c>
      <x:c r="K115" s="27" t="str">
        <x:v>https://www.waseda.jp/fsci/admissions_gs/</x:v>
      </x:c>
      <x:c r="L115" s="44" t="n">
        <x:v>0</x:v>
      </x:c>
      <x:c r="M115" s="21" t="str">
        <x:v>2026-08-28</x:v>
      </x:c>
    </x:row>
    <x:row r="116" ht="34" customHeight="1">
      <x:c r="A116" s="2" t="n">
        <x:v>112</x:v>
      </x:c>
      <x:c r="B116" s="2" t="str">
        <x:v>早稲田大学</x:v>
      </x:c>
      <x:c r="C116" s="2" t="str">
        <x:v>創造理工学研究科</x:v>
      </x:c>
      <x:c r="D116" s="2" t="str">
        <x:v>経営システム工学専攻</x:v>
      </x:c>
      <x:c r="E116" s="2" t="str">
        <x:v>专攻/课程</x:v>
      </x:c>
      <x:c r="F116" s="2" t="str">
        <x:v>waseda-university/CSE/keieisystem</x:v>
      </x:c>
      <x:c r="G116" s="27" t="str">
        <x:v>https://www.waseda.jp/fsci/admissions_gs/</x:v>
      </x:c>
      <x:c r="H116" s="2" t="str">
        <x:v>未找到公开统计</x:v>
      </x:c>
      <x:c r="I116" s="2" t="str">
        <x:v>2022、2026</x:v>
      </x:c>
      <x:c r="J116" s="27" t="str">
        <x:v>官网发布募集要项、考试题和合格者发表，但本次未发现可核验的逐年专攻别志愿者数/合格者数统计表；不从合格编号或在籍人数推算。</x:v>
      </x:c>
      <x:c r="K116" s="27" t="str">
        <x:v>https://www.waseda.jp/fsci/admissions_gs/</x:v>
      </x:c>
      <x:c r="L116" s="44" t="n">
        <x:v>0</x:v>
      </x:c>
      <x:c r="M116" s="21" t="str">
        <x:v>2026-08-28</x:v>
      </x:c>
    </x:row>
    <x:row r="117" ht="34" customHeight="1">
      <x:c r="A117" s="2" t="n">
        <x:v>113</x:v>
      </x:c>
      <x:c r="B117" s="2" t="str">
        <x:v>早稲田大学</x:v>
      </x:c>
      <x:c r="C117" s="2" t="str">
        <x:v>基幹理工学研究科</x:v>
      </x:c>
      <x:c r="D117" s="2" t="str">
        <x:v>電子物理システム学専攻</x:v>
      </x:c>
      <x:c r="E117" s="2" t="str">
        <x:v>专攻/课程</x:v>
      </x:c>
      <x:c r="F117" s="2" t="str">
        <x:v>waseda-university/FSE/denshibutsuri</x:v>
      </x:c>
      <x:c r="G117" s="27" t="str">
        <x:v>https://www.waseda.jp/fsci/admissions_gs/</x:v>
      </x:c>
      <x:c r="H117" s="2" t="str">
        <x:v>未找到公开统计</x:v>
      </x:c>
      <x:c r="I117" s="2" t="str">
        <x:v>2022、2026</x:v>
      </x:c>
      <x:c r="J117" s="27" t="str">
        <x:v>官网发布募集要项、考试题和合格者发表，但本次未发现可核验的逐年专攻别志愿者数/合格者数统计表；不从合格编号或在籍人数推算。</x:v>
      </x:c>
      <x:c r="K117" s="27" t="str">
        <x:v>https://www.waseda.jp/fsci/admissions_gs/</x:v>
      </x:c>
      <x:c r="L117" s="44" t="n">
        <x:v>0</x:v>
      </x:c>
      <x:c r="M117" s="21" t="str">
        <x:v>2026-08-28</x:v>
      </x:c>
    </x:row>
    <x:row r="118" ht="34" customHeight="1">
      <x:c r="A118" s="2" t="n">
        <x:v>114</x:v>
      </x:c>
      <x:c r="B118" s="2" t="str">
        <x:v>早稲田大学</x:v>
      </x:c>
      <x:c r="C118" s="2" t="str">
        <x:v>基幹理工学研究科</x:v>
      </x:c>
      <x:c r="D118" s="2" t="str">
        <x:v>機械科学・航空宇宙専攻</x:v>
      </x:c>
      <x:c r="E118" s="2" t="str">
        <x:v>专攻/课程</x:v>
      </x:c>
      <x:c r="F118" s="2" t="str">
        <x:v>waseda-university/FSE/kikaikagaku</x:v>
      </x:c>
      <x:c r="G118" s="27" t="str">
        <x:v>https://www.waseda.jp/fsci/admissions_gs/</x:v>
      </x:c>
      <x:c r="H118" s="2" t="str">
        <x:v>未找到公开统计</x:v>
      </x:c>
      <x:c r="I118" s="2" t="str">
        <x:v>2022、2026</x:v>
      </x:c>
      <x:c r="J118" s="27" t="str">
        <x:v>官网发布募集要项、考试题和合格者发表，但本次未发现可核验的逐年专攻别志愿者数/合格者数统计表；不从合格编号或在籍人数推算。</x:v>
      </x:c>
      <x:c r="K118" s="27" t="str">
        <x:v>https://www.waseda.jp/fsci/admissions_gs/</x:v>
      </x:c>
      <x:c r="L118" s="44" t="n">
        <x:v>0</x:v>
      </x:c>
      <x:c r="M118" s="21" t="str">
        <x:v>2026-08-28</x:v>
      </x:c>
    </x:row>
    <x:row r="119" ht="34" customHeight="1">
      <x:c r="A119" s="2" t="n">
        <x:v>115</x:v>
      </x:c>
      <x:c r="B119" s="2" t="str">
        <x:v>早稲田大学</x:v>
      </x:c>
      <x:c r="C119" s="2" t="str">
        <x:v>基幹理工学研究科</x:v>
      </x:c>
      <x:c r="D119" s="2" t="str">
        <x:v>数学応用数理専攻</x:v>
      </x:c>
      <x:c r="E119" s="2" t="str">
        <x:v>专攻/课程</x:v>
      </x:c>
      <x:c r="F119" s="2" t="str">
        <x:v>waseda-university/FSE/sugaku</x:v>
      </x:c>
      <x:c r="G119" s="27" t="str">
        <x:v>https://www.waseda.jp/fsci/admissions_gs/</x:v>
      </x:c>
      <x:c r="H119" s="2" t="str">
        <x:v>未找到公开统计</x:v>
      </x:c>
      <x:c r="I119" s="2" t="str">
        <x:v>2022、2026</x:v>
      </x:c>
      <x:c r="J119" s="27" t="str">
        <x:v>官网发布募集要项、考试题和合格者发表，但本次未发现可核验的逐年专攻别志愿者数/合格者数统计表；不从合格编号或在籍人数推算。</x:v>
      </x:c>
      <x:c r="K119" s="27" t="str">
        <x:v>https://www.waseda.jp/fsci/admissions_gs/</x:v>
      </x:c>
      <x:c r="L119" s="44" t="n">
        <x:v>0</x:v>
      </x:c>
      <x:c r="M119" s="21" t="str">
        <x:v>2026-08-28</x:v>
      </x:c>
    </x:row>
    <x:row r="120" ht="34" customHeight="1">
      <x:c r="A120" s="2" t="n">
        <x:v>116</x:v>
      </x:c>
      <x:c r="B120" s="2" t="str">
        <x:v>早稲田大学</x:v>
      </x:c>
      <x:c r="C120" s="2" t="str">
        <x:v>基幹理工学研究科</x:v>
      </x:c>
      <x:c r="D120" s="2" t="str">
        <x:v>材料科学専攻</x:v>
      </x:c>
      <x:c r="E120" s="2" t="str">
        <x:v>专攻/课程</x:v>
      </x:c>
      <x:c r="F120" s="2" t="str">
        <x:v>waseda-university/FSE/zairyokagaku</x:v>
      </x:c>
      <x:c r="G120" s="27" t="str">
        <x:v>https://www.waseda.jp/fsci/admissions_gs/</x:v>
      </x:c>
      <x:c r="H120" s="2" t="str">
        <x:v>未找到公开统计</x:v>
      </x:c>
      <x:c r="I120" s="2" t="str">
        <x:v>2022、2026</x:v>
      </x:c>
      <x:c r="J120" s="27" t="str">
        <x:v>官网发布募集要项、考试题和合格者发表，但本次未发现可核验的逐年专攻别志愿者数/合格者数统计表；不从合格编号或在籍人数推算。</x:v>
      </x:c>
      <x:c r="K120" s="27" t="str">
        <x:v>https://www.waseda.jp/fsci/admissions_gs/</x:v>
      </x:c>
      <x:c r="L120" s="44" t="n">
        <x:v>0</x:v>
      </x:c>
      <x:c r="M120" s="21" t="str">
        <x:v>2026-08-28</x:v>
      </x:c>
    </x:row>
    <x:row r="121" ht="34" customHeight="1">
      <x:c r="A121" s="2" t="n">
        <x:v>117</x:v>
      </x:c>
      <x:c r="B121" s="2" t="str">
        <x:v>慶應義塾大学</x:v>
      </x:c>
      <x:c r="C121" s="2" t="str">
        <x:v>経営管理研究科</x:v>
      </x:c>
      <x:c r="D121" s="2" t="str">
        <x:v>（研究科层级）</x:v>
      </x:c>
      <x:c r="E121" s="2" t="str">
        <x:v>研究科层级</x:v>
      </x:c>
      <x:c r="F121" s="2" t="str">
        <x:v>keio-university/business</x:v>
      </x:c>
      <x:c r="G121" s="27" t="str">
        <x:v>https://www.kbs.keio.ac.jp/graduate/mba/admission/</x:v>
      </x:c>
      <x:c r="H121" s="2" t="str">
        <x:v>精确到专攻/项目</x:v>
      </x:c>
      <x:c r="I121" s="2" t="str">
        <x:v>2022–2026</x:v>
      </x:c>
      <x:c r="J121" s="27" t="str"/>
      <x:c r="K121" s="27" t="str">
        <x:v>https://www.kbs.keio.ac.jp/about/history.html</x:v>
      </x:c>
      <x:c r="L121" s="44" t="n">
        <x:v>5</x:v>
      </x:c>
      <x:c r="M121" s="21" t="str">
        <x:v>2026-08-28</x:v>
      </x:c>
    </x:row>
    <x:row r="122" ht="34" customHeight="1">
      <x:c r="A122" s="2" t="n">
        <x:v>118</x:v>
      </x:c>
      <x:c r="B122" s="2" t="str">
        <x:v>神戸大学</x:v>
      </x:c>
      <x:c r="C122" s="2" t="str">
        <x:v>経済学研究科</x:v>
      </x:c>
      <x:c r="D122" s="2" t="str">
        <x:v>（研究科层级）</x:v>
      </x:c>
      <x:c r="E122" s="2" t="str">
        <x:v>研究科层级</x:v>
      </x:c>
      <x:c r="F122" s="2" t="str">
        <x:v>kobe-university/economics</x:v>
      </x:c>
      <x:c r="G122" s="27" t="str">
        <x:v>https://www.econ.kobe-u.ac.jp/admission-master/</x:v>
      </x:c>
      <x:c r="H122" s="2" t="str">
        <x:v>精确到专攻/项目</x:v>
      </x:c>
      <x:c r="I122" s="2" t="str">
        <x:v>2022–2025</x:v>
      </x:c>
      <x:c r="J122" s="27" t="str">
        <x:v>研究科単位の入学者数（春・秋）は確認。志願者・受験者・合格者は未発見。</x:v>
      </x:c>
      <x:c r="K122" s="27" t="str">
        <x:v>https://www.kobe-u.ac.jp/ja/about/datashiryoushuu/5_2025/</x:v>
      </x:c>
      <x:c r="L122" s="44" t="n">
        <x:v>8</x:v>
      </x:c>
      <x:c r="M122" s="21" t="str">
        <x:v>2026-08-28</x:v>
      </x:c>
    </x:row>
    <x:row r="123" ht="34" customHeight="1">
      <x:c r="A123" s="2" t="n">
        <x:v>119</x:v>
      </x:c>
      <x:c r="B123" s="2" t="str">
        <x:v>神戸大学</x:v>
      </x:c>
      <x:c r="C123" s="2" t="str">
        <x:v>工学研究科</x:v>
      </x:c>
      <x:c r="D123" s="2" t="str">
        <x:v>電気電子工学専攻</x:v>
      </x:c>
      <x:c r="E123" s="2" t="str">
        <x:v>专攻/课程</x:v>
      </x:c>
      <x:c r="F123" s="2" t="str">
        <x:v>kobe-university/engineering/ee</x:v>
      </x:c>
      <x:c r="G123" s="27" t="str">
        <x:v>http://www.eng.kobe-u.ac.jp/examinee.html</x:v>
      </x:c>
      <x:c r="H123" s="2" t="str">
        <x:v>仅上位层级合计</x:v>
      </x:c>
      <x:c r="I123" s="2" t="str">
        <x:v>2022–2025</x:v>
      </x:c>
      <x:c r="J123" s="27" t="str">
        <x:v>研究科合計の入学者数のみ。専攻ディメンションは研究科値を反復するため不採用。</x:v>
      </x:c>
      <x:c r="K123" s="27" t="str">
        <x:v>https://www.kobe-u.ac.jp/ja/about/datashiryoushuu/5_2025/</x:v>
      </x:c>
      <x:c r="L123" s="44" t="n">
        <x:v>4</x:v>
      </x:c>
      <x:c r="M123" s="21" t="str">
        <x:v>2026-08-28</x:v>
      </x:c>
    </x:row>
    <x:row r="124" ht="34" customHeight="1">
      <x:c r="A124" s="2" t="n">
        <x:v>120</x:v>
      </x:c>
      <x:c r="B124" s="2" t="str">
        <x:v>神戸大学</x:v>
      </x:c>
      <x:c r="C124" s="2" t="str">
        <x:v>工学研究科</x:v>
      </x:c>
      <x:c r="D124" s="2" t="str">
        <x:v>市民工学専攻</x:v>
      </x:c>
      <x:c r="E124" s="2" t="str">
        <x:v>专攻/课程</x:v>
      </x:c>
      <x:c r="F124" s="2" t="str">
        <x:v>kobe-university/engineering/shimin</x:v>
      </x:c>
      <x:c r="G124" s="27" t="str">
        <x:v>http://www.eng.kobe-u.ac.jp/examinee.html</x:v>
      </x:c>
      <x:c r="H124" s="2" t="str">
        <x:v>仅上位层级合计</x:v>
      </x:c>
      <x:c r="I124" s="2" t="str">
        <x:v>2022–2025</x:v>
      </x:c>
      <x:c r="J124" s="27" t="str">
        <x:v>研究科合計の入学者数のみ。専攻別の入試統計は未発見。</x:v>
      </x:c>
      <x:c r="K124" s="27" t="str">
        <x:v>https://www.kobe-u.ac.jp/ja/about/datashiryoushuu/5_2025/</x:v>
      </x:c>
      <x:c r="L124" s="44" t="n">
        <x:v>4</x:v>
      </x:c>
      <x:c r="M124" s="21" t="str">
        <x:v>2026-08-28</x:v>
      </x:c>
    </x:row>
    <x:row r="125" ht="34" customHeight="1">
      <x:c r="A125" s="2" t="n">
        <x:v>121</x:v>
      </x:c>
      <x:c r="B125" s="2" t="str">
        <x:v>神戸大学</x:v>
      </x:c>
      <x:c r="C125" s="2" t="str">
        <x:v>理学研究科</x:v>
      </x:c>
      <x:c r="D125" s="2" t="str">
        <x:v>化学専攻</x:v>
      </x:c>
      <x:c r="E125" s="2" t="str">
        <x:v>专攻/课程</x:v>
      </x:c>
      <x:c r="F125" s="2" t="str">
        <x:v>kobe-university/science/chem</x:v>
      </x:c>
      <x:c r="G125" s="27" t="str">
        <x:v>http://www.sci.kobe-u.ac.jp/admissions/master.html</x:v>
      </x:c>
      <x:c r="H125" s="2" t="str">
        <x:v>仅上位层级合计</x:v>
      </x:c>
      <x:c r="I125" s="2" t="str">
        <x:v>2022–2025</x:v>
      </x:c>
      <x:c r="J125" s="27" t="str">
        <x:v>研究科合計の入学者数のみ。</x:v>
      </x:c>
      <x:c r="K125" s="27" t="str">
        <x:v>https://www.kobe-u.ac.jp/ja/about/datashiryoushuu/5_2025/</x:v>
      </x:c>
      <x:c r="L125" s="44" t="n">
        <x:v>8</x:v>
      </x:c>
      <x:c r="M125" s="21" t="str">
        <x:v>2026-08-28</x:v>
      </x:c>
    </x:row>
    <x:row r="126" ht="34" customHeight="1">
      <x:c r="A126" s="2" t="n">
        <x:v>122</x:v>
      </x:c>
      <x:c r="B126" s="2" t="str">
        <x:v>神戸大学</x:v>
      </x:c>
      <x:c r="C126" s="2" t="str">
        <x:v>理学研究科</x:v>
      </x:c>
      <x:c r="D126" s="2" t="str">
        <x:v>数学専攻</x:v>
      </x:c>
      <x:c r="E126" s="2" t="str">
        <x:v>专攻/课程</x:v>
      </x:c>
      <x:c r="F126" s="2" t="str">
        <x:v>kobe-university/science/math</x:v>
      </x:c>
      <x:c r="G126" s="27" t="str">
        <x:v>http://www.sci.kobe-u.ac.jp/admissions/master.html</x:v>
      </x:c>
      <x:c r="H126" s="2" t="str">
        <x:v>仅上位层级合计</x:v>
      </x:c>
      <x:c r="I126" s="2" t="str">
        <x:v>2022–2025</x:v>
      </x:c>
      <x:c r="J126" s="27" t="str">
        <x:v>研究科合計の入学者数のみ。</x:v>
      </x:c>
      <x:c r="K126" s="27" t="str">
        <x:v>https://www.kobe-u.ac.jp/ja/about/datashiryoushuu/5_2025/</x:v>
      </x:c>
      <x:c r="L126" s="44" t="n">
        <x:v>8</x:v>
      </x:c>
      <x:c r="M126" s="21" t="str">
        <x:v>2026-08-28</x:v>
      </x:c>
    </x:row>
    <x:row r="127" ht="34" customHeight="1">
      <x:c r="A127" s="2" t="n">
        <x:v>123</x:v>
      </x:c>
      <x:c r="B127" s="2" t="str">
        <x:v>神戸大学</x:v>
      </x:c>
      <x:c r="C127" s="2" t="str">
        <x:v>理学研究科</x:v>
      </x:c>
      <x:c r="D127" s="2" t="str">
        <x:v>物理学専攻</x:v>
      </x:c>
      <x:c r="E127" s="2" t="str">
        <x:v>专攻/课程</x:v>
      </x:c>
      <x:c r="F127" s="2" t="str">
        <x:v>kobe-university/science/phys</x:v>
      </x:c>
      <x:c r="G127" s="27" t="str">
        <x:v>http://www.sci.kobe-u.ac.jp/admissions/master.html</x:v>
      </x:c>
      <x:c r="H127" s="2" t="str">
        <x:v>仅上位层级合计</x:v>
      </x:c>
      <x:c r="I127" s="2" t="str">
        <x:v>2022–2025</x:v>
      </x:c>
      <x:c r="J127" s="27" t="str">
        <x:v>研究科合計の入学者数のみ。</x:v>
      </x:c>
      <x:c r="K127" s="27" t="str">
        <x:v>https://www.kobe-u.ac.jp/ja/about/datashiryoushuu/5_2025/</x:v>
      </x:c>
      <x:c r="L127" s="44" t="n">
        <x:v>8</x:v>
      </x:c>
      <x:c r="M127" s="21" t="str">
        <x:v>2026-08-28</x:v>
      </x:c>
    </x:row>
    <x:row r="128" ht="34" customHeight="1">
      <x:c r="A128" s="2" t="n">
        <x:v>124</x:v>
      </x:c>
      <x:c r="B128" s="2" t="str">
        <x:v>神戸大学</x:v>
      </x:c>
      <x:c r="C128" s="2" t="str">
        <x:v>システム情報学研究科</x:v>
      </x:c>
      <x:c r="D128" s="2" t="str">
        <x:v>（研究科层级）</x:v>
      </x:c>
      <x:c r="E128" s="2" t="str">
        <x:v>研究科层级</x:v>
      </x:c>
      <x:c r="F128" s="2" t="str">
        <x:v>kobe-university/system_informatics</x:v>
      </x:c>
      <x:c r="G128" s="27" t="str">
        <x:v>https://www.csi.kobe-u.ac.jp/exam/master_exam.html</x:v>
      </x:c>
      <x:c r="H128" s="2" t="str">
        <x:v>精确到专攻/项目</x:v>
      </x:c>
      <x:c r="I128" s="2" t="str">
        <x:v>2022–2025</x:v>
      </x:c>
      <x:c r="J128" s="27" t="str">
        <x:v>研究科単位の入学者数は確認。志願者・受験者・合格者は未発見。</x:v>
      </x:c>
      <x:c r="K128" s="27" t="str">
        <x:v>https://www.kobe-u.ac.jp/ja/about/datashiryoushuu/5_2025/</x:v>
      </x:c>
      <x:c r="L128" s="44" t="n">
        <x:v>4</x:v>
      </x:c>
      <x:c r="M128" s="21" t="str">
        <x:v>2026-08-28</x:v>
      </x:c>
    </x:row>
    <x:row r="129" ht="34" customHeight="1">
      <x:c r="A129" s="2" t="n">
        <x:v>125</x:v>
      </x:c>
      <x:c r="B129" s="2" t="str">
        <x:v>筑波大学</x:v>
      </x:c>
      <x:c r="C129" s="2" t="str">
        <x:v>理工情報生命学術院</x:v>
      </x:c>
      <x:c r="D129" s="2" t="str">
        <x:v>数理物質科学研究群</x:v>
      </x:c>
      <x:c r="E129" s="2" t="str">
        <x:v>专攻/课程</x:v>
      </x:c>
      <x:c r="F129" s="2" t="str">
        <x:v>tsukuba-university/science_and_technology/pas</x:v>
      </x:c>
      <x:c r="G129" s="27" t="str">
        <x:v>https://www.ap-graduate.tsukuba.ac.jp/course/</x:v>
      </x:c>
      <x:c r="H129" s="2" t="str">
        <x:v>精确到专攻/项目</x:v>
      </x:c>
      <x:c r="I129" s="2" t="str">
        <x:v>2022–2026</x:v>
      </x:c>
      <x:c r="J129" s="27" t="str">
        <x:v>博士前期課程の研究群小計として、募集人員・志願者・受験者・合格者・入学者を確認。</x:v>
      </x:c>
      <x:c r="K129" s="27" t="str">
        <x:v>https://www.tsukuba.ac.jp/admission/graduate-result/</x:v>
      </x:c>
      <x:c r="L129" s="44" t="n">
        <x:v>5</x:v>
      </x:c>
      <x:c r="M129" s="21" t="str">
        <x:v>2026-08-28</x:v>
      </x:c>
    </x:row>
    <x:row r="130" ht="34" customHeight="1">
      <x:c r="A130" s="2" t="n">
        <x:v>126</x:v>
      </x:c>
      <x:c r="B130" s="2" t="str">
        <x:v>筑波大学</x:v>
      </x:c>
      <x:c r="C130" s="2" t="str">
        <x:v>理工情報生命学術院</x:v>
      </x:c>
      <x:c r="D130" s="2" t="str">
        <x:v>システム情報工学研究群</x:v>
      </x:c>
      <x:c r="E130" s="2" t="str">
        <x:v>专攻/课程</x:v>
      </x:c>
      <x:c r="F130" s="2" t="str">
        <x:v>tsukuba-university/science_and_technology/sie</x:v>
      </x:c>
      <x:c r="G130" s="27" t="str">
        <x:v>https://www.ap-graduate.tsukuba.ac.jp/course/</x:v>
      </x:c>
      <x:c r="H130" s="2" t="str">
        <x:v>精确到专攻/项目</x:v>
      </x:c>
      <x:c r="I130" s="2" t="str">
        <x:v>2022–2026</x:v>
      </x:c>
      <x:c r="J130" s="27" t="str">
        <x:v>博士前期課程の研究群小計として、募集人員・志願者・受験者・合格者・入学者を確認。</x:v>
      </x:c>
      <x:c r="K130" s="27" t="str">
        <x:v>https://www.tsukuba.ac.jp/admission/graduate-result/</x:v>
      </x:c>
      <x:c r="L130" s="44" t="n">
        <x:v>5</x:v>
      </x:c>
      <x:c r="M130" s="21" t="str">
        <x:v>2026-08-28</x:v>
      </x:c>
    </x:row>
    <x:row r="131" ht="34" customHeight="1">
      <x:c r="A131" s="2" t="n">
        <x:v>127</x:v>
      </x:c>
      <x:c r="B131" s="2" t="str">
        <x:v>電気通信大学</x:v>
      </x:c>
      <x:c r="C131" s="2" t="str">
        <x:v>情報理工学研究科</x:v>
      </x:c>
      <x:c r="D131" s="2" t="str">
        <x:v>情報・ネットワーク工学専攻</x:v>
      </x:c>
      <x:c r="E131" s="2" t="str">
        <x:v>专攻/课程</x:v>
      </x:c>
      <x:c r="F131" s="2" t="str">
        <x:v>UEC/informatics_and_engineering/cne</x:v>
      </x:c>
      <x:c r="G131" s="27" t="str">
        <x:v>https://www.uec.ac.jp/education/graduate/admission/kakomon.html</x:v>
      </x:c>
      <x:c r="H131" s="2" t="str">
        <x:v>精确到专攻/项目</x:v>
      </x:c>
      <x:c r="I131" s="2" t="str">
        <x:v>2022–2026</x:v>
      </x:c>
      <x:c r="J131" s="27" t="str">
        <x:v>一般・推薦・社会人を専攻別に確認。2023年の情報学専攻は二次募集も別記。</x:v>
      </x:c>
      <x:c r="K131" s="27" t="str">
        <x:v>https://www.uec.ac.jp/education/graduate/admission/</x:v>
      </x:c>
      <x:c r="L131" s="44" t="n">
        <x:v>15</x:v>
      </x:c>
      <x:c r="M131" s="21" t="str">
        <x:v>2026-08-28</x:v>
      </x:c>
    </x:row>
    <x:row r="132" ht="34" customHeight="1">
      <x:c r="A132" s="2" t="n">
        <x:v>128</x:v>
      </x:c>
      <x:c r="B132" s="2" t="str">
        <x:v>電気通信大学</x:v>
      </x:c>
      <x:c r="C132" s="2" t="str">
        <x:v>情報理工学研究科</x:v>
      </x:c>
      <x:c r="D132" s="2" t="str">
        <x:v>情報学専攻</x:v>
      </x:c>
      <x:c r="E132" s="2" t="str">
        <x:v>专攻/课程</x:v>
      </x:c>
      <x:c r="F132" s="2" t="str">
        <x:v>UEC/informatics_and_engineering/is</x:v>
      </x:c>
      <x:c r="G132" s="27" t="str">
        <x:v>https://www.uec.ac.jp/education/graduate/admission/kakomon.html</x:v>
      </x:c>
      <x:c r="H132" s="2" t="str">
        <x:v>精确到专攻/项目</x:v>
      </x:c>
      <x:c r="I132" s="2" t="str">
        <x:v>2022–2026</x:v>
      </x:c>
      <x:c r="J132" s="27" t="str">
        <x:v>一般・推薦・社会人を専攻別に確認。2023年の情報学専攻は二次募集も別記。</x:v>
      </x:c>
      <x:c r="K132" s="27" t="str">
        <x:v>https://www.uec.ac.jp/education/graduate/admission/</x:v>
      </x:c>
      <x:c r="L132" s="44" t="n">
        <x:v>16</x:v>
      </x:c>
      <x:c r="M132" s="21" t="str">
        <x:v>2026-08-28</x:v>
      </x:c>
    </x:row>
    <x:row r="133" ht="34" customHeight="1">
      <x:c r="A133" s="2" t="n">
        <x:v>129</x:v>
      </x:c>
      <x:c r="B133" s="2" t="str">
        <x:v>電気通信大学</x:v>
      </x:c>
      <x:c r="C133" s="2" t="str">
        <x:v>情報理工学研究科</x:v>
      </x:c>
      <x:c r="D133" s="2" t="str">
        <x:v>機械知能システム学専攻</x:v>
      </x:c>
      <x:c r="E133" s="2" t="str">
        <x:v>专攻/课程</x:v>
      </x:c>
      <x:c r="F133" s="2" t="str">
        <x:v>UEC/informatics_and_engineering/mise</x:v>
      </x:c>
      <x:c r="G133" s="27" t="str">
        <x:v>https://www.uec.ac.jp/education/graduate/admission/kakomon.html</x:v>
      </x:c>
      <x:c r="H133" s="2" t="str">
        <x:v>精确到专攻/项目</x:v>
      </x:c>
      <x:c r="I133" s="2" t="str">
        <x:v>2022–2026</x:v>
      </x:c>
      <x:c r="J133" s="27" t="str">
        <x:v>一般・推薦・社会人を専攻別に確認。2023年の情報学専攻は二次募集も別記。</x:v>
      </x:c>
      <x:c r="K133" s="27" t="str">
        <x:v>https://www.uec.ac.jp/education/graduate/admission/</x:v>
      </x:c>
      <x:c r="L133" s="44" t="n">
        <x:v>15</x:v>
      </x:c>
      <x:c r="M133" s="21" t="str">
        <x:v>2026-08-28</x:v>
      </x:c>
    </x:row>
    <x:row r="134" ht="34" customHeight="1">
      <x:c r="A134" s="2" t="n">
        <x:v>130</x:v>
      </x:c>
      <x:c r="B134" s="2" t="str">
        <x:v>電気通信大学</x:v>
      </x:c>
      <x:c r="C134" s="2" t="str">
        <x:v>情報理工学研究科</x:v>
      </x:c>
      <x:c r="D134" s="2" t="str">
        <x:v>基盤理工学専攻</x:v>
      </x:c>
      <x:c r="E134" s="2" t="str">
        <x:v>专攻/课程</x:v>
      </x:c>
      <x:c r="F134" s="2" t="str">
        <x:v>UEC/informatics_and_engineering/fse</x:v>
      </x:c>
      <x:c r="G134" s="27" t="str">
        <x:v>https://www.uec.ac.jp/education/graduate/admission/kakomon.html</x:v>
      </x:c>
      <x:c r="H134" s="2" t="str">
        <x:v>精确到专攻/项目</x:v>
      </x:c>
      <x:c r="I134" s="2" t="str">
        <x:v>2022–2026</x:v>
      </x:c>
      <x:c r="J134" s="27" t="str">
        <x:v>一般・推薦・社会人を専攻別に確認。2023年の情報学専攻は二次募集も別記。</x:v>
      </x:c>
      <x:c r="K134" s="27" t="str">
        <x:v>https://www.uec.ac.jp/education/graduate/admission/</x:v>
      </x:c>
      <x:c r="L134" s="44" t="n">
        <x:v>15</x:v>
      </x:c>
      <x:c r="M134" s="21" t="str">
        <x:v>2026-08-28</x:v>
      </x:c>
    </x:row>
    <x:row r="135" ht="34" customHeight="1">
      <x:c r="A135" s="2" t="n">
        <x:v>131</x:v>
      </x:c>
      <x:c r="B135" s="2" t="str">
        <x:v>広島大学</x:v>
      </x:c>
      <x:c r="C135" s="2" t="str">
        <x:v>先進理工系科学研究科</x:v>
      </x:c>
      <x:c r="D135" s="2" t="str">
        <x:v>電気システム制御プログラム</x:v>
      </x:c>
      <x:c r="E135" s="2" t="str">
        <x:v>专攻/课程</x:v>
      </x:c>
      <x:c r="F135" s="2" t="str">
        <x:v>hiroshima-university/ASE/esce</x:v>
      </x:c>
      <x:c r="G135" s="27" t="str">
        <x:v>https://www.hiroshima-u.ac.jp/adse/admission</x:v>
      </x:c>
      <x:c r="H135" s="2" t="str">
        <x:v>精确到专攻/项目</x:v>
      </x:c>
      <x:c r="I135" s="2" t="str">
        <x:v>2023–2026</x:v>
      </x:c>
      <x:c r="J135" s="27" t="str">
        <x:v>学位プログラム別、4月/10月入学別の出願者・合格者・入学者を確認。受験者数は掲載なし。</x:v>
      </x:c>
      <x:c r="K135" s="27" t="str">
        <x:v>https://archive2.hiroshima-u.ac.jp/adse/brochure2026/index_h5.html</x:v>
      </x:c>
      <x:c r="L135" s="44" t="n">
        <x:v>7</x:v>
      </x:c>
      <x:c r="M135" s="21" t="str">
        <x:v>2026-08-28</x:v>
      </x:c>
    </x:row>
    <x:row r="136" ht="34" customHeight="1">
      <x:c r="A136" s="2" t="n">
        <x:v>132</x:v>
      </x:c>
      <x:c r="B136" s="2" t="str">
        <x:v>広島大学</x:v>
      </x:c>
      <x:c r="C136" s="2" t="str">
        <x:v>先進理工系科学研究科</x:v>
      </x:c>
      <x:c r="D136" s="2" t="str">
        <x:v>情報科学プログラム</x:v>
      </x:c>
      <x:c r="E136" s="2" t="str">
        <x:v>专攻/课程</x:v>
      </x:c>
      <x:c r="F136" s="2" t="str">
        <x:v>hiroshima-university/ASE/is</x:v>
      </x:c>
      <x:c r="G136" s="27" t="str">
        <x:v>https://www.hiroshima-u.ac.jp/adse/admission</x:v>
      </x:c>
      <x:c r="H136" s="2" t="str">
        <x:v>精确到专攻/项目</x:v>
      </x:c>
      <x:c r="I136" s="2" t="str">
        <x:v>2023–2026</x:v>
      </x:c>
      <x:c r="J136" s="27" t="str">
        <x:v>学位プログラム別、4月/10月入学別の出願者・合格者・入学者を確認。受験者数は掲載なし。</x:v>
      </x:c>
      <x:c r="K136" s="27" t="str">
        <x:v>https://archive2.hiroshima-u.ac.jp/adse/brochure2026/index_h5.html</x:v>
      </x:c>
      <x:c r="L136" s="44" t="n">
        <x:v>7</x:v>
      </x:c>
      <x:c r="M136" s="21" t="str">
        <x:v>2026-08-28</x:v>
      </x:c>
    </x:row>
    <x:row r="137" ht="34" customHeight="1">
      <x:c r="A137" s="2" t="n">
        <x:v>133</x:v>
      </x:c>
      <x:c r="B137" s="2" t="str">
        <x:v>広島大学</x:v>
      </x:c>
      <x:c r="C137" s="2" t="str">
        <x:v>先進理工系科学研究科</x:v>
      </x:c>
      <x:c r="D137" s="2" t="str">
        <x:v>数学プログラム</x:v>
      </x:c>
      <x:c r="E137" s="2" t="str">
        <x:v>专攻/课程</x:v>
      </x:c>
      <x:c r="F137" s="2" t="str">
        <x:v>hiroshima-university/ASE/math</x:v>
      </x:c>
      <x:c r="G137" s="27" t="str">
        <x:v>https://www.hiroshima-u.ac.jp/adse/admission</x:v>
      </x:c>
      <x:c r="H137" s="2" t="str">
        <x:v>精确到专攻/项目</x:v>
      </x:c>
      <x:c r="I137" s="2" t="str">
        <x:v>2023–2026</x:v>
      </x:c>
      <x:c r="J137" s="27" t="str">
        <x:v>学位プログラム別、4月/10月入学別の出願者・合格者・入学者を確認。受験者数は掲載なし。</x:v>
      </x:c>
      <x:c r="K137" s="27" t="str">
        <x:v>https://archive2.hiroshima-u.ac.jp/adse/brochure2026/index_h5.html</x:v>
      </x:c>
      <x:c r="L137" s="44" t="n">
        <x:v>7</x:v>
      </x:c>
      <x:c r="M137" s="21" t="str">
        <x:v>2026-08-28</x:v>
      </x:c>
    </x:row>
    <x:row r="138" ht="34" customHeight="1">
      <x:c r="A138" s="2" t="n">
        <x:v>134</x:v>
      </x:c>
      <x:c r="B138" s="2" t="str">
        <x:v>広島大学</x:v>
      </x:c>
      <x:c r="C138" s="2" t="str">
        <x:v>先進理工系科学研究科</x:v>
      </x:c>
      <x:c r="D138" s="2" t="str">
        <x:v>物理学プログラム</x:v>
      </x:c>
      <x:c r="E138" s="2" t="str">
        <x:v>专攻/课程</x:v>
      </x:c>
      <x:c r="F138" s="2" t="str">
        <x:v>hiroshima-university/ASE/phys</x:v>
      </x:c>
      <x:c r="G138" s="27" t="str">
        <x:v>https://www.hiroshima-u.ac.jp/adse/admission</x:v>
      </x:c>
      <x:c r="H138" s="2" t="str">
        <x:v>精确到专攻/项目</x:v>
      </x:c>
      <x:c r="I138" s="2" t="str">
        <x:v>2023–2026</x:v>
      </x:c>
      <x:c r="J138" s="27" t="str">
        <x:v>学位プログラム別、4月/10月入学別の出願者・合格者・入学者を確認。受験者数は掲載なし。</x:v>
      </x:c>
      <x:c r="K138" s="27" t="str">
        <x:v>https://archive2.hiroshima-u.ac.jp/adse/brochure2026/index_h5.html</x:v>
      </x:c>
      <x:c r="L138" s="44" t="n">
        <x:v>7</x:v>
      </x:c>
      <x:c r="M138" s="21" t="str">
        <x:v>2026-08-28</x:v>
      </x:c>
    </x:row>
    <x:row r="139" ht="34" customHeight="1">
      <x:c r="A139" s="2" t="n">
        <x:v>135</x:v>
      </x:c>
      <x:c r="B139" s="2" t="str">
        <x:v>東京農工大学</x:v>
      </x:c>
      <x:c r="C139" s="2" t="str">
        <x:v>工学府</x:v>
      </x:c>
      <x:c r="D139" s="2" t="str">
        <x:v>共通数学</x:v>
      </x:c>
      <x:c r="E139" s="2" t="str">
        <x:v>专攻/课程</x:v>
      </x:c>
      <x:c r="F139" s="2" t="str">
        <x:v>TUAT/engineering/kyotsu</x:v>
      </x:c>
      <x:c r="G139" s="27" t="str">
        <x:v>https://www.tuat.ac.jp/admission/nyushi_daigakuin/</x:v>
      </x:c>
      <x:c r="H139" s="2" t="str">
        <x:v>仅上位层级合计</x:v>
      </x:c>
      <x:c r="I139" s="2" t="str">
        <x:v>2022–2023</x:v>
      </x:c>
      <x:c r="J139" s="27" t="str">
        <x:v>共通数学は入試科目区分であり専攻ではない。工学府博士前期・専門職合計のみ確認。</x:v>
      </x:c>
      <x:c r="K139" s="27" t="str">
        <x:v>https://www.tuat.ac.jp/documents/tuat/outline/jyouhoukoukai/houjin/gakubu/senshin_m_2407_gakusei.pdf</x:v>
      </x:c>
      <x:c r="L139" s="44" t="n">
        <x:v>2</x:v>
      </x:c>
      <x:c r="M139" s="21" t="str">
        <x:v>2026-08-28</x:v>
      </x:c>
    </x:row>
    <x:row r="140" ht="34" customHeight="1">
      <x:c r="A140" s="2" t="n">
        <x:v>136</x:v>
      </x:c>
      <x:c r="B140" s="2" t="str">
        <x:v>東京農工大学</x:v>
      </x:c>
      <x:c r="C140" s="2" t="str">
        <x:v>生物システム応用科学府</x:v>
      </x:c>
      <x:c r="D140" s="2" t="str">
        <x:v>（研究科层级）</x:v>
      </x:c>
      <x:c r="E140" s="2" t="str">
        <x:v>研究科层级</x:v>
      </x:c>
      <x:c r="F140" s="2" t="str">
        <x:v>TUAT/BASE</x:v>
      </x:c>
      <x:c r="G140" s="27" t="str">
        <x:v>https://www.tuat.ac.jp/admission/nyushi_daigakuin/</x:v>
      </x:c>
      <x:c r="H140" s="2" t="str">
        <x:v>精确到专攻/项目</x:v>
      </x:c>
      <x:c r="I140" s="2" t="str">
        <x:v>2022–2023</x:v>
      </x:c>
      <x:c r="J140" s="27" t="str">
        <x:v>学府博士前期課程合計を確認。2025年度から修士課程は先進学際科学府へ改組。</x:v>
      </x:c>
      <x:c r="K140" s="27" t="str">
        <x:v>https://www.tuat.ac.jp/documents/tuat/outline/jyouhoukoukai/houjin/gakubu/senshin_m_2407_gakusei.pdf</x:v>
      </x:c>
      <x:c r="L140" s="44" t="n">
        <x:v>2</x:v>
      </x:c>
      <x:c r="M140" s="21" t="str">
        <x:v>2026-08-28</x:v>
      </x:c>
    </x:row>
    <x:row r="141" ht="34" customHeight="1">
      <x:c r="A141" s="2" t="n">
        <x:v>137</x:v>
      </x:c>
      <x:c r="B141" s="2" t="str">
        <x:v>法政大学</x:v>
      </x:c>
      <x:c r="C141" s="2" t="str">
        <x:v>理工学研究科</x:v>
      </x:c>
      <x:c r="D141" s="2" t="str">
        <x:v>経営システム系</x:v>
      </x:c>
      <x:c r="E141" s="2" t="str">
        <x:v>专攻/课程</x:v>
      </x:c>
      <x:c r="F141" s="2" t="str">
        <x:v>hosei-university/science_and_engineering/systems_engineering/management_systems</x:v>
      </x:c>
      <x:c r="G141" s="27" t="str">
        <x:v>https://www.hosei.ac.jp/gs/riko/</x:v>
      </x:c>
      <x:c r="H141" s="2" t="str">
        <x:v>未找到公开统计</x:v>
      </x:c>
      <x:c r="I141" s="2" t="str">
        <x:v>2022、2026</x:v>
      </x:c>
      <x:c r="J141" s="27" t="str">
        <x:v>公式研究科ページ・過去問題ページを確認したが、対象年の専攻/系別志願者・受験者・合格者・入学者統計は未発見。</x:v>
      </x:c>
      <x:c r="K141" s="27" t="str">
        <x:v>https://www.hosei.ac.jp/gs/riko/</x:v>
      </x:c>
      <x:c r="L141" s="44" t="n">
        <x:v>0</x:v>
      </x:c>
      <x:c r="M141" s="21" t="str">
        <x:v>2026-08-28</x:v>
      </x:c>
    </x:row>
    <x:row r="142" ht="34" customHeight="1">
      <x:c r="A142" s="2" t="n">
        <x:v>138</x:v>
      </x:c>
      <x:c r="B142" s="2" t="str">
        <x:v>金沢大学</x:v>
      </x:c>
      <x:c r="C142" s="2" t="str">
        <x:v>自然科学研究科</x:v>
      </x:c>
      <x:c r="D142" s="2" t="str">
        <x:v>電子情報通信学専攻</x:v>
      </x:c>
      <x:c r="E142" s="2" t="str">
        <x:v>专攻/课程</x:v>
      </x:c>
      <x:c r="F142" s="2" t="str">
        <x:v>kanazawa-university/nst/eice</x:v>
      </x:c>
      <x:c r="G142" s="27" t="str">
        <x:v>https://www.kanazawa-u.ac.jp/education/admission/graduate</x:v>
      </x:c>
      <x:c r="H142" s="2" t="str">
        <x:v>未找到公开统计</x:v>
      </x:c>
      <x:c r="I142" s="2" t="str">
        <x:v>2022、2026</x:v>
      </x:c>
      <x:c r="J142" s="27" t="str">
        <x:v>募集要項と合格者発表は確認できるが、対象期間の志願者・受験者・合格者・入学者を一体で示す専攻別統計表は未発見。合格番号公表だけから志願者数は推定していない。</x:v>
      </x:c>
      <x:c r="K142" s="27" t="str">
        <x:v>https://www.nst.kanazawa-u.ac.jp/admission/</x:v>
      </x:c>
      <x:c r="L142" s="44" t="n">
        <x:v>0</x:v>
      </x:c>
      <x:c r="M142" s="21" t="str">
        <x:v>2026-08-28</x:v>
      </x:c>
    </x:row>
    <x:row r="143" ht="34" customHeight="1">
      <x:c r="A143" s="2" t="n">
        <x:v>139</x:v>
      </x:c>
      <x:c r="B143" s="2" t="str">
        <x:v>埼玉大学</x:v>
      </x:c>
      <x:c r="C143" s="2" t="str">
        <x:v>理工学研究科</x:v>
      </x:c>
      <x:c r="D143" s="2" t="str">
        <x:v>情報システム工学コース</x:v>
      </x:c>
      <x:c r="E143" s="2" t="str">
        <x:v>专攻/课程</x:v>
      </x:c>
      <x:c r="F143" s="2" t="str">
        <x:v>saitama-university/science_and_engineering/mathematics_electronics_information/information_systems_engineering</x:v>
      </x:c>
      <x:c r="G143" s="27" t="str">
        <x:v>https://www.saitama-u.ac.jp/rikogaku/admission/</x:v>
      </x:c>
      <x:c r="H143" s="2" t="str">
        <x:v>未找到公开统计</x:v>
      </x:c>
      <x:c r="I143" s="2" t="str"/>
      <x:c r="J143" s="27" t="str">
        <x:v>已核对研究科博士前期招生页与募集要项；未找到公开的志愿者/合格者/入学者统计。现行名称已调整为数理电子信息专攻・信息工学程序。</x:v>
      </x:c>
      <x:c r="K143" s="27" t="str">
        <x:v>https://www.saitama-u.ac.jp/rikogaku/admission/exam/masters.html</x:v>
      </x:c>
      <x:c r="L143" s="44" t="n">
        <x:v>0</x:v>
      </x:c>
      <x:c r="M143" s="21" t="str">
        <x:v>2026-08-28</x:v>
      </x:c>
    </x:row>
    <x:row r="144" ht="34" customHeight="1">
      <x:c r="A144" s="2" t="n">
        <x:v>140</x:v>
      </x:c>
      <x:c r="B144" s="2" t="str">
        <x:v>明治大学</x:v>
      </x:c>
      <x:c r="C144" s="2" t="str">
        <x:v>先端数理科学研究科</x:v>
      </x:c>
      <x:c r="D144" s="2" t="str">
        <x:v>現象数理学専攻</x:v>
      </x:c>
      <x:c r="E144" s="2" t="str">
        <x:v>专攻/课程</x:v>
      </x:c>
      <x:c r="F144" s="2" t="str">
        <x:v>meiji-university/advanced_mathematical_sciences/mathematical_sciences</x:v>
      </x:c>
      <x:c r="G144" s="27" t="str">
        <x:v>https://www.meiji.ac.jp/ams/exam/</x:v>
      </x:c>
      <x:c r="H144" s="2" t="str">
        <x:v>精确到专攻/项目</x:v>
      </x:c>
      <x:c r="I144" s="2" t="str">
        <x:v>2022–2025</x:v>
      </x:c>
      <x:c r="J144" s="27" t="str">
        <x:v>官方专攻级志愿者、合格者；2022–2024另有入学者。</x:v>
      </x:c>
      <x:c r="K144" s="27" t="str">
        <x:v>https://www.meiji.ac.jp/dai_in/guidebook/6t5h7p00003fm092-att/6t5h7p00003fm0k9.pdf</x:v>
      </x:c>
      <x:c r="L144" s="44" t="n">
        <x:v>4</x:v>
      </x:c>
      <x:c r="M144" s="21" t="str">
        <x:v>2026-08-28</x:v>
      </x:c>
    </x:row>
    <x:row r="145" ht="34" customHeight="1">
      <x:c r="A145" s="2" t="n">
        <x:v>141</x:v>
      </x:c>
      <x:c r="B145" s="2" t="str">
        <x:v>名古屋工業大学</x:v>
      </x:c>
      <x:c r="C145" s="2" t="str">
        <x:v>工学研究科</x:v>
      </x:c>
      <x:c r="D145" s="2" t="str">
        <x:v>情報工学系</x:v>
      </x:c>
      <x:c r="E145" s="2" t="str">
        <x:v>专攻/课程</x:v>
      </x:c>
      <x:c r="F145" s="2" t="str">
        <x:v>nagoya-institute-of-technology/engineering/ie</x:v>
      </x:c>
      <x:c r="G145" s="27" t="str">
        <x:v>https://www.nitech.ac.jp/examination/in/test.html</x:v>
      </x:c>
      <x:c r="H145" s="2" t="str">
        <x:v>精确到专攻/项目</x:v>
      </x:c>
      <x:c r="I145" s="2" t="str">
        <x:v>2025–2026</x:v>
      </x:c>
      <x:c r="J145" s="27" t="str">
        <x:v>官方系级，各选拔类别汇总；较早年度PDF存在但因组织/表格结构变化未强行拼接。</x:v>
      </x:c>
      <x:c r="K145" s="27" t="str">
        <x:v>https://www.nitech.ac.jp/examination/in/senbatsu.html</x:v>
      </x:c>
      <x:c r="L145" s="44" t="n">
        <x:v>2</x:v>
      </x:c>
      <x:c r="M145" s="21" t="str">
        <x:v>2026-08-28</x:v>
      </x:c>
    </x:row>
    <x:row r="146" ht="34" customHeight="1">
      <x:c r="A146" s="2" t="n">
        <x:v>142</x:v>
      </x:c>
      <x:c r="B146" s="2" t="str">
        <x:v>山口大学</x:v>
      </x:c>
      <x:c r="C146" s="2" t="str">
        <x:v>人間社会科学研究科</x:v>
      </x:c>
      <x:c r="D146" s="2" t="str">
        <x:v>臨床心理学専攻</x:v>
      </x:c>
      <x:c r="E146" s="2" t="str">
        <x:v>专攻/课程</x:v>
      </x:c>
      <x:c r="F146" s="2" t="str">
        <x:v>yamaguchi-university/hes/scp</x:v>
      </x:c>
      <x:c r="G146" s="27" t="str">
        <x:v>https://www.yamaguchi-u.ac.jp/hes/exam/index.html</x:v>
      </x:c>
      <x:c r="H146" s="2" t="str">
        <x:v>仅上位层级合计</x:v>
      </x:c>
      <x:c r="I146" s="2" t="str">
        <x:v>2025</x:v>
      </x:c>
      <x:c r="J146" s="27" t="str">
        <x:v>仅研究科合计，未按专攻拆分。</x:v>
      </x:c>
      <x:c r="K146" s="27" t="str">
        <x:v>https://www.yamaguchi-u.ac.jp/wp-content/uploads/2025/09/25092215.pdf</x:v>
      </x:c>
      <x:c r="L146" s="44" t="n">
        <x:v>1</x:v>
      </x:c>
      <x:c r="M146" s="21" t="str">
        <x:v>2026-08-28</x:v>
      </x:c>
    </x:row>
    <x:row r="147" ht="34" customHeight="1">
      <x:c r="A147" s="2" t="n">
        <x:v>143</x:v>
      </x:c>
      <x:c r="B147" s="2" t="str">
        <x:v>山口大学</x:v>
      </x:c>
      <x:c r="C147" s="2" t="str">
        <x:v>人間社会科学研究科</x:v>
      </x:c>
      <x:c r="D147" s="2" t="str">
        <x:v>経済学・経営学専攻</x:v>
      </x:c>
      <x:c r="E147" s="2" t="str">
        <x:v>专攻/课程</x:v>
      </x:c>
      <x:c r="F147" s="2" t="str">
        <x:v>yamaguchi-university/hes/economics</x:v>
      </x:c>
      <x:c r="G147" s="27" t="str">
        <x:v>https://www.yamaguchi-u.ac.jp/hes/exam/index.html</x:v>
      </x:c>
      <x:c r="H147" s="2" t="str">
        <x:v>仅上位层级合计</x:v>
      </x:c>
      <x:c r="I147" s="2" t="str">
        <x:v>2025</x:v>
      </x:c>
      <x:c r="J147" s="27" t="str">
        <x:v>仅研究科合计，未按专攻拆分。</x:v>
      </x:c>
      <x:c r="K147" s="27" t="str">
        <x:v>https://www.yamaguchi-u.ac.jp/wp-content/uploads/2025/09/25092215.pdf</x:v>
      </x:c>
      <x:c r="L147" s="44" t="n">
        <x:v>1</x:v>
      </x:c>
      <x:c r="M147" s="21" t="str">
        <x:v>2026-08-28</x:v>
      </x:c>
    </x:row>
    <x:row r="148" ht="34" customHeight="1">
      <x:c r="A148" s="2" t="n">
        <x:v>144</x:v>
      </x:c>
      <x:c r="B148" s="2" t="str">
        <x:v>新潟大学</x:v>
      </x:c>
      <x:c r="C148" s="2" t="str">
        <x:v>自然科学研究科</x:v>
      </x:c>
      <x:c r="D148" s="2" t="str">
        <x:v>電気情報工学専攻 情報工学コース</x:v>
      </x:c>
      <x:c r="E148" s="2" t="str">
        <x:v>专攻/课程</x:v>
      </x:c>
      <x:c r="F148" s="2" t="str">
        <x:v>niigata-university/natural_sciences/information_engineering</x:v>
      </x:c>
      <x:c r="G148" s="27" t="str">
        <x:v>https://www.gs.niigata-u.ac.jp/~gsweb/admission/r4_pq.html</x:v>
      </x:c>
      <x:c r="H148" s="2" t="str">
        <x:v>仅上位层级合计</x:v>
      </x:c>
      <x:c r="I148" s="2" t="str">
        <x:v>2024–2025</x:v>
      </x:c>
      <x:c r="J148" s="27" t="str">
        <x:v>仅自然科学研究科合计；2026年度改组为综合学术研究科。</x:v>
      </x:c>
      <x:c r="K148" s="27" t="str">
        <x:v>https://www.niigata-u.ac.jp/university/about/data/admission/</x:v>
      </x:c>
      <x:c r="L148" s="44" t="n">
        <x:v>2</x:v>
      </x:c>
      <x:c r="M148" s="21" t="str">
        <x:v>2026-08-28</x:v>
      </x:c>
    </x:row>
    <x:row r="149" ht="34" customHeight="1">
      <x:c r="A149" s="2" t="n">
        <x:v>145</x:v>
      </x:c>
      <x:c r="B149" s="2" t="str">
        <x:v>新潟大学</x:v>
      </x:c>
      <x:c r="C149" s="2" t="str">
        <x:v>自然科学研究科</x:v>
      </x:c>
      <x:c r="D149" s="2" t="str">
        <x:v>数理物質科学専攻 数理科学コース</x:v>
      </x:c>
      <x:c r="E149" s="2" t="str">
        <x:v>专攻/课程</x:v>
      </x:c>
      <x:c r="F149" s="2" t="str">
        <x:v>niigata-university/natural_sciences/mathematical_sciences</x:v>
      </x:c>
      <x:c r="G149" s="27" t="str">
        <x:v>https://www.gs.niigata-u.ac.jp/~gsweb/admission/r4_pq.html</x:v>
      </x:c>
      <x:c r="H149" s="2" t="str">
        <x:v>仅上位层级合计</x:v>
      </x:c>
      <x:c r="I149" s="2" t="str">
        <x:v>2024–2025</x:v>
      </x:c>
      <x:c r="J149" s="27" t="str">
        <x:v>仅自然科学研究科合计；2026年度改组为综合学术研究科。</x:v>
      </x:c>
      <x:c r="K149" s="27" t="str">
        <x:v>https://www.niigata-u.ac.jp/university/about/data/admission/</x:v>
      </x:c>
      <x:c r="L149" s="44" t="n">
        <x:v>2</x:v>
      </x:c>
      <x:c r="M149" s="21" t="str">
        <x:v>2026-08-28</x:v>
      </x:c>
    </x:row>
    <x:row r="150" ht="34" customHeight="1">
      <x:c r="A150" s="2" t="n">
        <x:v>146</x:v>
      </x:c>
      <x:c r="B150" s="2" t="str">
        <x:v>一橋大学</x:v>
      </x:c>
      <x:c r="C150" s="2" t="str">
        <x:v>経済学研究科</x:v>
      </x:c>
      <x:c r="D150" s="2" t="str">
        <x:v>（研究科层级）</x:v>
      </x:c>
      <x:c r="E150" s="2" t="str">
        <x:v>研究科层级</x:v>
      </x:c>
      <x:c r="F150" s="2" t="str">
        <x:v>hitotsubashi-university/economics</x:v>
      </x:c>
      <x:c r="G150" s="27" t="str">
        <x:v>https://www.econ.hit-u.ac.jp/jpn/page/examinee/graduate_admissions/past_exam.html</x:v>
      </x:c>
      <x:c r="H150" s="2" t="str">
        <x:v>精确到专攻/项目</x:v>
      </x:c>
      <x:c r="I150" s="2" t="str">
        <x:v>2022–2024</x:v>
      </x:c>
      <x:c r="J150" s="27" t="str">
        <x:v>研究科本身即项目层级；可区分秋季、春季。</x:v>
      </x:c>
      <x:c r="K150" s="27" t="str">
        <x:v>https://www.econ.hit-u.ac.jp/jpn/download/examinee/graduate_admissions/nyushikekka2022-2024.pdf</x:v>
      </x:c>
      <x:c r="L150" s="44" t="n">
        <x:v>9</x:v>
      </x:c>
      <x:c r="M150" s="21" t="str">
        <x:v>2026-08-28</x:v>
      </x:c>
    </x:row>
    <x:row r="151" ht="34" customHeight="1">
      <x:c r="A151" s="2" t="n">
        <x:v>147</x:v>
      </x:c>
      <x:c r="B151" s="2" t="str">
        <x:v>公立はこだて未来大学</x:v>
      </x:c>
      <x:c r="C151" s="2" t="str">
        <x:v>システム情報科学研究科</x:v>
      </x:c>
      <x:c r="D151" s="2" t="str">
        <x:v>基礎数学</x:v>
      </x:c>
      <x:c r="E151" s="2" t="str">
        <x:v>专攻/课程</x:v>
      </x:c>
      <x:c r="F151" s="2" t="str">
        <x:v>future-university-hakodate/system_information_science/basic_mathematics</x:v>
      </x:c>
      <x:c r="G151" s="27" t="str">
        <x:v>https://www.fun.ac.jp/past-graduate-school-exam</x:v>
      </x:c>
      <x:c r="H151" s="2" t="str">
        <x:v>仅上位层级合计</x:v>
      </x:c>
      <x:c r="I151" s="2" t="str">
        <x:v>2022–2026</x:v>
      </x:c>
      <x:c r="J151" s="27" t="str">
        <x:v>“基础数学”是入试科目而非招生专攻；官方数据仅研究科合计，可区分8月与2月。</x:v>
      </x:c>
      <x:c r="K151" s="27" t="str">
        <x:v>https://www.fun.ac.jp/admission/admission-graduate-school/result-gsexam-graduate/</x:v>
      </x:c>
      <x:c r="L151" s="44" t="n">
        <x:v>10</x:v>
      </x:c>
      <x:c r="M151" s="21" t="str">
        <x:v>2026-08-28</x:v>
      </x:c>
    </x:row>
    <x:row r="152" ht="34" customHeight="1">
      <x:c r="A152" s="2" t="n">
        <x:v>148</x:v>
      </x:c>
      <x:c r="B152" s="2" t="str">
        <x:v>大阪公立大学</x:v>
      </x:c>
      <x:c r="C152" s="2" t="str">
        <x:v>理学研究科</x:v>
      </x:c>
      <x:c r="D152" s="2" t="str">
        <x:v>数学専攻</x:v>
      </x:c>
      <x:c r="E152" s="2" t="str">
        <x:v>专攻/课程</x:v>
      </x:c>
      <x:c r="F152" s="2" t="str">
        <x:v>osaka-metropolitan-university/science/mathematics</x:v>
      </x:c>
      <x:c r="G152" s="27" t="str">
        <x:v>https://www.omu.ac.jp/sci/admission/</x:v>
      </x:c>
      <x:c r="H152" s="2" t="str">
        <x:v>精确到专攻/项目</x:v>
      </x:c>
      <x:c r="I152" s="2" t="str">
        <x:v>2023–2026</x:v>
      </x:c>
      <x:c r="J152" s="27" t="str">
        <x:v>官方专攻级，含募集人数、志愿、受验、合格、入学。</x:v>
      </x:c>
      <x:c r="K152" s="27" t="str">
        <x:v>https://www.omu.ac.jp/admissions/g/exam_info/past_results/</x:v>
      </x:c>
      <x:c r="L152" s="44" t="n">
        <x:v>4</x:v>
      </x:c>
      <x:c r="M152" s="21" t="str">
        <x:v>2026-08-28</x:v>
      </x:c>
    </x:row>
    <x:row r="153" ht="34" customHeight="1">
      <x:c r="A153" s="2" t="n">
        <x:v>149</x:v>
      </x:c>
      <x:c r="B153" s="2" t="str">
        <x:v>大阪公立大学</x:v>
      </x:c>
      <x:c r="C153" s="2" t="str">
        <x:v>理学研究科</x:v>
      </x:c>
      <x:c r="D153" s="2" t="str">
        <x:v>物理学専攻</x:v>
      </x:c>
      <x:c r="E153" s="2" t="str">
        <x:v>专攻/课程</x:v>
      </x:c>
      <x:c r="F153" s="2" t="str">
        <x:v>osaka-metropolitan-university/science/physics</x:v>
      </x:c>
      <x:c r="G153" s="27" t="str">
        <x:v>https://www.omu.ac.jp/sci/admission/</x:v>
      </x:c>
      <x:c r="H153" s="2" t="str">
        <x:v>精确到专攻/项目</x:v>
      </x:c>
      <x:c r="I153" s="2" t="str">
        <x:v>2023–2026</x:v>
      </x:c>
      <x:c r="J153" s="27" t="str">
        <x:v>官方专攻级，含募集人数、志愿、受验、合格、入学。</x:v>
      </x:c>
      <x:c r="K153" s="27" t="str">
        <x:v>https://www.omu.ac.jp/admissions/g/exam_info/past_results/</x:v>
      </x:c>
      <x:c r="L153" s="44" t="n">
        <x:v>4</x:v>
      </x:c>
      <x:c r="M153" s="21" t="str">
        <x:v>2026-08-28</x:v>
      </x:c>
    </x:row>
    <x:row r="154" ht="34" customHeight="1">
      <x:c r="A154" s="2" t="n">
        <x:v>150</x:v>
      </x:c>
      <x:c r="B154" s="2" t="str">
        <x:v>愛媛大学</x:v>
      </x:c>
      <x:c r="C154" s="2" t="str">
        <x:v>理工学研究科</x:v>
      </x:c>
      <x:c r="D154" s="2" t="str">
        <x:v>理工学専攻 自然科学基盤プログラム 地球科学分野</x:v>
      </x:c>
      <x:c r="E154" s="2" t="str">
        <x:v>专攻/课程</x:v>
      </x:c>
      <x:c r="F154" s="2" t="str">
        <x:v>ehime-university/science_and_engineering/natural_science_foundation_earth_science</x:v>
      </x:c>
      <x:c r="G154" s="27" t="str">
        <x:v>http://earth.sci.ehime-u.ac.jp/gradexam.html</x:v>
      </x:c>
      <x:c r="H154" s="2" t="str">
        <x:v>精确到专攻/项目</x:v>
      </x:c>
      <x:c r="I154" s="2" t="str">
        <x:v>2025</x:v>
      </x:c>
      <x:c r="J154" s="27" t="str">
        <x:v>官方分野级；2024以前为旧组织，未与新项目强行串联。</x:v>
      </x:c>
      <x:c r="K154" s="27" t="str">
        <x:v>https://www.ehime-u.ac.jp/wp-content/uploads/2025/05/R7-3_jitsushijoukyou_daigakuin.pdf</x:v>
      </x:c>
      <x:c r="L154" s="44" t="n">
        <x:v>1</x:v>
      </x:c>
      <x:c r="M154" s="21" t="str">
        <x:v>2026-08-28</x:v>
      </x:c>
    </x:row>
    <x:row r="155" ht="34" customHeight="1">
      <x:c r="A155" s="2" t="n">
        <x:v>151</x:v>
      </x:c>
      <x:c r="B155" s="2" t="str">
        <x:v>琉球大学</x:v>
      </x:c>
      <x:c r="C155" s="2" t="str">
        <x:v>理工学研究科</x:v>
      </x:c>
      <x:c r="D155" s="2" t="str">
        <x:v>物質地球科学専攻 物理系</x:v>
      </x:c>
      <x:c r="E155" s="2" t="str">
        <x:v>专攻/课程</x:v>
      </x:c>
      <x:c r="F155" s="2" t="str">
        <x:v>ryukyu-university/science_and_engineering/material_earth_sciences_physics</x:v>
      </x:c>
      <x:c r="G155" s="27" t="str">
        <x:v>http://www.phys.u-ryukyu.ac.jp/gakunai/inshi.html</x:v>
      </x:c>
      <x:c r="H155" s="2" t="str">
        <x:v>仅上位层级合计</x:v>
      </x:c>
      <x:c r="I155" s="2" t="str">
        <x:v>2022、2026</x:v>
      </x:c>
      <x:c r="J155" s="27" t="str">
        <x:v>官方只到物质地球科学专攻合计，未拆分物理系与地球环境系。</x:v>
      </x:c>
      <x:c r="K155" s="27" t="str">
        <x:v>https://www.u-ryukyu.ac.jp/admissions/passed/</x:v>
      </x:c>
      <x:c r="L155" s="44" t="n">
        <x:v>0</x:v>
      </x:c>
      <x:c r="M155" s="21" t="str">
        <x:v>2026-08-28</x:v>
      </x:c>
    </x:row>
  </x:sheetData>
  <x:mergeCells>
    <x:mergeCell ref="A1:M1"/>
    <x:mergeCell ref="A2:M2"/>
  </x:mergeCells>
  <x:conditionalFormatting sqref="H5:H155">
    <x:cfRule type="containsText" dxfId="0" priority="1" operator="containsText" text="精确"/>
    <x:cfRule type="containsText" dxfId="1" priority="2" operator="containsText" text="仅上位"/>
    <x:cfRule type="containsText" dxfId="2" priority="3" operator="containsText" text="未找到"/>
  </x:conditionalFormatting>
  <x:pageMargins left="0.7" right="0.7" top="0.75" bottom="0.75" header="0.3" footer="0.3"/>
  <x:tableParts count="1">
    <x:tablePart xmlns:r="http://schemas.openxmlformats.org/officeDocument/2006/relationships" r:id="Rdea429073a734be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1" hidden="0" customWidth="1"/>
    <x:col min="2" max="2" width="25" hidden="0" customWidth="1"/>
    <x:col min="3" max="3" width="34" hidden="0" customWidth="1"/>
    <x:col min="4" max="4" width="11" hidden="0" customWidth="1"/>
    <x:col min="5" max="5" width="25" hidden="0" customWidth="1"/>
    <x:col min="6" max="6" width="17" hidden="0" customWidth="1"/>
    <x:col min="7" max="7" width="28" hidden="0" customWidth="1"/>
    <x:col min="8" max="8" width="16" hidden="0" customWidth="1"/>
    <x:col min="9" max="9" width="12" hidden="0" customWidth="1"/>
    <x:col min="10" max="10" width="12" hidden="0" customWidth="1"/>
    <x:col min="11" max="11" width="12" hidden="0" customWidth="1"/>
    <x:col min="12" max="12" width="12" hidden="0" customWidth="1"/>
    <x:col min="13" max="13" width="12" hidden="0" customWidth="1"/>
    <x:col min="14" max="14" width="15" hidden="0" customWidth="1"/>
    <x:col min="15" max="15" width="15" hidden="0" customWidth="1"/>
    <x:col min="16" max="16" width="12" hidden="0" customWidth="1"/>
    <x:col min="17" max="17" width="15" hidden="0" customWidth="1"/>
    <x:col min="18" max="18" width="13" hidden="0" customWidth="1"/>
    <x:col min="19" max="19" width="15" hidden="0" customWidth="1"/>
    <x:col min="20" max="20" width="11" hidden="0" customWidth="1"/>
    <x:col min="21" max="21" width="10" hidden="0" customWidth="1"/>
    <x:col min="22" max="22" width="42" hidden="0" customWidth="1"/>
    <x:col min="23" max="23" width="40" hidden="0" customWidth="1"/>
    <x:col min="24" max="24" width="45" hidden="0" customWidth="1"/>
    <x:col min="25" max="25" width="48" hidden="0" customWidth="1"/>
    <x:col min="26" max="26" width="42" hidden="0" customWidth="1"/>
  </x:cols>
  <x:sheetData>
    <x:row r="1" ht="34" customHeight="1">
      <x:c r="A1" s="4" t="str">
        <x:v>历年报录数据（官方主表）</x:v>
      </x:c>
      <x:c r="B1" s="4"/>
      <x:c r="C1" s="4"/>
      <x:c r="D1" s="4"/>
      <x:c r="E1" s="4"/>
      <x:c r="F1" s="4"/>
      <x:c r="G1" s="4"/>
      <x:c r="H1" s="4"/>
      <x:c r="I1" s="4"/>
      <x:c r="J1" s="4"/>
      <x:c r="K1" s="4"/>
      <x:c r="L1" s="4"/>
      <x:c r="M1" s="4"/>
      <x:c r="N1" s="4"/>
      <x:c r="O1" s="4"/>
      <x:c r="P1" s="4"/>
      <x:c r="Q1" s="4"/>
      <x:c r="R1" s="4"/>
      <x:c r="S1" s="4"/>
      <x:c r="T1" s="4"/>
      <x:c r="U1" s="4"/>
      <x:c r="V1" s="4"/>
      <x:c r="W1" s="4"/>
      <x:c r="X1" s="4"/>
      <x:c r="Y1" s="4"/>
      <x:c r="Z1" s="4"/>
    </x:row>
    <x:row r="2" ht="25" customHeight="1">
      <x:c r="A2" s="6" t="str">
        <x:v>数值全部保留原官方统计粒度；倍率与比例为公式计算。研究科合计行不可直接当作某个专攻的难度。 </x:v>
      </x:c>
      <x:c r="B2" s="6"/>
      <x:c r="C2" s="6"/>
      <x:c r="D2" s="6"/>
      <x:c r="E2" s="6"/>
      <x:c r="F2" s="6"/>
      <x:c r="G2" s="6"/>
      <x:c r="H2" s="6"/>
      <x:c r="I2" s="6"/>
      <x:c r="J2" s="6"/>
      <x:c r="K2" s="6"/>
      <x:c r="L2" s="6"/>
      <x:c r="M2" s="6"/>
      <x:c r="N2" s="6"/>
      <x:c r="O2" s="6"/>
      <x:c r="P2" s="6"/>
      <x:c r="Q2" s="6"/>
      <x:c r="R2" s="6"/>
      <x:c r="S2" s="6"/>
      <x:c r="T2" s="6"/>
      <x:c r="U2" s="6"/>
      <x:c r="V2" s="6"/>
      <x:c r="W2" s="6"/>
      <x:c r="X2" s="6"/>
      <x:c r="Y2" s="6"/>
      <x:c r="Z2" s="6"/>
    </x:row>
    <x:row r="3">
      <x:c r="A3" s="2"/>
      <x:c r="B3" s="2"/>
      <x:c r="C3" s="2"/>
      <x:c r="D3" s="2"/>
      <x:c r="E3" s="2"/>
      <x:c r="F3" s="2"/>
      <x:c r="G3" s="2"/>
      <x:c r="H3" s="2"/>
      <x:c r="I3" s="2"/>
      <x:c r="J3" s="2"/>
      <x:c r="K3" s="2"/>
      <x:c r="L3" s="2"/>
      <x:c r="M3" s="2"/>
      <x:c r="N3" s="2"/>
      <x:c r="O3" s="2"/>
      <x:c r="P3" s="2"/>
      <x:c r="Q3" s="2"/>
      <x:c r="R3" s="2"/>
      <x:c r="S3" s="2"/>
      <x:c r="T3" s="2"/>
      <x:c r="U3" s="2"/>
      <x:c r="V3" s="2"/>
      <x:c r="W3" s="2"/>
      <x:c r="X3" s="2"/>
      <x:c r="Y3" s="2"/>
      <x:c r="Z3" s="2"/>
    </x:row>
    <x:row r="4" ht="32" customHeight="1">
      <x:c r="A4" s="33" t="str">
        <x:v>大学</x:v>
      </x:c>
      <x:c r="B4" s="33" t="str">
        <x:v>研究科/学院</x:v>
      </x:c>
      <x:c r="C4" s="33" t="str">
        <x:v>专攻/统计对象</x:v>
      </x:c>
      <x:c r="D4" s="33" t="str">
        <x:v>入学年度</x:v>
      </x:c>
      <x:c r="E4" s="33" t="str">
        <x:v>考试期</x:v>
      </x:c>
      <x:c r="F4" s="33" t="str">
        <x:v>课程</x:v>
      </x:c>
      <x:c r="G4" s="33" t="str">
        <x:v>选拔类别</x:v>
      </x:c>
      <x:c r="H4" s="33" t="str">
        <x:v>统计粒度</x:v>
      </x:c>
      <x:c r="I4" s="33" t="str">
        <x:v>募集人数</x:v>
      </x:c>
      <x:c r="J4" s="33" t="str">
        <x:v>志愿者</x:v>
      </x:c>
      <x:c r="K4" s="33" t="str">
        <x:v>受验者</x:v>
      </x:c>
      <x:c r="L4" s="33" t="str">
        <x:v>合格者</x:v>
      </x:c>
      <x:c r="M4" s="33" t="str">
        <x:v>入学者</x:v>
      </x:c>
      <x:c r="N4" s="33" t="str">
        <x:v>志愿/合格倍率</x:v>
      </x:c>
      <x:c r="O4" s="33" t="str">
        <x:v>受验/合格倍率</x:v>
      </x:c>
      <x:c r="P4" s="33" t="str">
        <x:v>合格率</x:v>
      </x:c>
      <x:c r="Q4" s="33" t="str">
        <x:v>入学转化率</x:v>
      </x:c>
      <x:c r="R4" s="33" t="str">
        <x:v>主要倍率</x:v>
      </x:c>
      <x:c r="S4" s="33" t="str">
        <x:v>主要口径</x:v>
      </x:c>
      <x:c r="T4" s="33" t="str">
        <x:v>来源类型</x:v>
      </x:c>
      <x:c r="U4" s="33" t="str">
        <x:v>可信度</x:v>
      </x:c>
      <x:c r="V4" s="33" t="str">
        <x:v>来源标题</x:v>
      </x:c>
      <x:c r="W4" s="33" t="str">
        <x:v>证据定位</x:v>
      </x:c>
      <x:c r="X4" s="33" t="str">
        <x:v>来源URL</x:v>
      </x:c>
      <x:c r="Y4" s="33" t="str">
        <x:v>范围说明</x:v>
      </x:c>
      <x:c r="Z4" s="33" t="str">
        <x:v>备注</x:v>
      </x:c>
    </x:row>
    <x:row r="5" ht="38" customHeight="1">
      <x:c r="A5" s="2" t="str">
        <x:v>東京大学</x:v>
      </x:c>
      <x:c r="B5" s="2" t="str">
        <x:v>工学系研究科</x:v>
      </x:c>
      <x:c r="C5" s="2" t="str">
        <x:v>機械工学専攻</x:v>
      </x:c>
      <x:c r="D5" s="44" t="n">
        <x:v>2022</x:v>
      </x:c>
      <x:c r="E5" s="27" t="str">
        <x:v>全年合计（前年10月・当年4月入学）</x:v>
      </x:c>
      <x:c r="F5" s="27" t="str">
        <x:v>修士課程</x:v>
      </x:c>
      <x:c r="G5" s="27" t="str">
        <x:v>全类别合计（外国人等特別選考を含む）</x:v>
      </x:c>
      <x:c r="H5" s="27" t="str">
        <x:v>专攻/系</x:v>
      </x:c>
      <x:c r="I5" s="44" t="n">
        <x:v>52</x:v>
      </x:c>
      <x:c r="J5" s="44" t="n">
        <x:v>144</x:v>
      </x:c>
      <x:c r="K5" s="44"/>
      <x:c r="L5" s="44" t="n">
        <x:v>93</x:v>
      </x:c>
      <x:c r="M5" s="44"/>
      <x:c r="N5" s="45" t="n">
        <x:f>IF(AND(J5&lt;&gt;"",L5&lt;&gt;0),J5/L5,"")</x:f>
        <x:v>1.5483870967741935</x:v>
      </x:c>
      <x:c r="O5" s="45" t="str">
        <x:f>IF(AND(K5&lt;&gt;"",L5&lt;&gt;0),K5/L5,"")</x:f>
      </x:c>
      <x:c r="P5" s="46" t="str">
        <x:f>IF(AND(K5&lt;&gt;"",K5&lt;&gt;0,L5&lt;&gt;""),L5/K5,"")</x:f>
      </x:c>
      <x:c r="Q5" s="46" t="str">
        <x:f>IF(AND(L5&lt;&gt;"",L5&lt;&gt;0,M5&lt;&gt;""),M5/L5,"")</x:f>
      </x:c>
      <x:c r="R5" s="45" t="n">
        <x:f>IF(N5&lt;&gt;"",N5,IF(O5&lt;&gt;"",O5,""))</x:f>
        <x:v>1.5483870967741935</x:v>
      </x:c>
      <x:c r="S5" s="2" t="str">
        <x:f>IF(N5&lt;&gt;"","志愿/合格",IF(O5&lt;&gt;"","受验/合格",""))</x:f>
        <x:v>志愿/合格</x:v>
      </x:c>
      <x:c r="T5" s="2" t="str">
        <x:v>官方</x:v>
      </x:c>
      <x:c r="U5" s="2" t="str">
        <x:v>高</x:v>
      </x:c>
      <x:c r="V5" s="27" t="str">
        <x:v>2022年度入学試験結果</x:v>
      </x:c>
      <x:c r="W5" s="27" t="str">
        <x:v>PDF 1頁「修士課程」該当専攻行</x:v>
      </x:c>
      <x:c r="X5" s="27" t="str">
        <x:v>https://www.t.u-tokyo.ac.jp/hubfs/graduate/2022/0407/001/2022_kekka_J.pdf</x:v>
      </x:c>
      <x:c r="Y5" s="27" t="str">
        <x:v>専攻単位。括弧内の外国人等内数は合計に含まれる。</x:v>
      </x:c>
      <x:c r="Z5" s="47" t="str">
        <x:v>受験者数・入学者数は表に掲載なし。</x:v>
      </x:c>
    </x:row>
    <x:row r="6" ht="38" customHeight="1">
      <x:c r="A6" s="2" t="str">
        <x:v>東京大学</x:v>
      </x:c>
      <x:c r="B6" s="2" t="str">
        <x:v>工学系研究科</x:v>
      </x:c>
      <x:c r="C6" s="2" t="str">
        <x:v>機械工学専攻</x:v>
      </x:c>
      <x:c r="D6" s="44" t="n">
        <x:v>2023</x:v>
      </x:c>
      <x:c r="E6" s="27" t="str">
        <x:v>全年合计（前年10月・当年4月入学）</x:v>
      </x:c>
      <x:c r="F6" s="27" t="str">
        <x:v>修士課程</x:v>
      </x:c>
      <x:c r="G6" s="27" t="str">
        <x:v>全类别合计（外国人等特別選考を含む）</x:v>
      </x:c>
      <x:c r="H6" s="27" t="str">
        <x:v>专攻/系</x:v>
      </x:c>
      <x:c r="I6" s="44" t="n">
        <x:v>52</x:v>
      </x:c>
      <x:c r="J6" s="44" t="n">
        <x:v>124</x:v>
      </x:c>
      <x:c r="K6" s="44"/>
      <x:c r="L6" s="44" t="n">
        <x:v>89</x:v>
      </x:c>
      <x:c r="M6" s="44"/>
      <x:c r="N6" s="45" t="n">
        <x:f>IF(AND(J6&lt;&gt;"",L6&lt;&gt;0),J6/L6,"")</x:f>
        <x:v>1.3932584269662922</x:v>
      </x:c>
      <x:c r="O6" s="45" t="str">
        <x:f>IF(AND(K6&lt;&gt;"",L6&lt;&gt;0),K6/L6,"")</x:f>
      </x:c>
      <x:c r="P6" s="46" t="str">
        <x:f>IF(AND(K6&lt;&gt;"",K6&lt;&gt;0,L6&lt;&gt;""),L6/K6,"")</x:f>
      </x:c>
      <x:c r="Q6" s="46" t="str">
        <x:f>IF(AND(L6&lt;&gt;"",L6&lt;&gt;0,M6&lt;&gt;""),M6/L6,"")</x:f>
      </x:c>
      <x:c r="R6" s="45" t="n">
        <x:f>IF(N6&lt;&gt;"",N6,IF(O6&lt;&gt;"",O6,""))</x:f>
        <x:v>1.3932584269662922</x:v>
      </x:c>
      <x:c r="S6" s="2" t="str">
        <x:f>IF(N6&lt;&gt;"","志愿/合格",IF(O6&lt;&gt;"","受验/合格",""))</x:f>
        <x:v>志愿/合格</x:v>
      </x:c>
      <x:c r="T6" s="2" t="str">
        <x:v>官方</x:v>
      </x:c>
      <x:c r="U6" s="2" t="str">
        <x:v>高</x:v>
      </x:c>
      <x:c r="V6" s="27" t="str">
        <x:v>2023年度入学試験結果</x:v>
      </x:c>
      <x:c r="W6" s="27" t="str">
        <x:v>PDF 1頁「修士課程」該当専攻行</x:v>
      </x:c>
      <x:c r="X6" s="27" t="str">
        <x:v>https://www.t.u-tokyo.ac.jp/hubfs/2023_kekka_J.pdf</x:v>
      </x:c>
      <x:c r="Y6" s="27" t="str">
        <x:v>専攻単位。括弧内の外国人等内数は合計に含まれる。</x:v>
      </x:c>
      <x:c r="Z6" s="47" t="str">
        <x:v>受験者数・入学者数は表に掲載なし。</x:v>
      </x:c>
    </x:row>
    <x:row r="7" ht="38" customHeight="1">
      <x:c r="A7" s="2" t="str">
        <x:v>東京大学</x:v>
      </x:c>
      <x:c r="B7" s="2" t="str">
        <x:v>工学系研究科</x:v>
      </x:c>
      <x:c r="C7" s="2" t="str">
        <x:v>機械工学専攻</x:v>
      </x:c>
      <x:c r="D7" s="44" t="n">
        <x:v>2024</x:v>
      </x:c>
      <x:c r="E7" s="27" t="str">
        <x:v>全年合计（前年10月・当年4月入学）</x:v>
      </x:c>
      <x:c r="F7" s="27" t="str">
        <x:v>修士課程</x:v>
      </x:c>
      <x:c r="G7" s="27" t="str">
        <x:v>全类别合计（外国人等特別選考を含む）</x:v>
      </x:c>
      <x:c r="H7" s="27" t="str">
        <x:v>专攻/系</x:v>
      </x:c>
      <x:c r="I7" s="44" t="n">
        <x:v>52</x:v>
      </x:c>
      <x:c r="J7" s="44" t="n">
        <x:v>130</x:v>
      </x:c>
      <x:c r="K7" s="44"/>
      <x:c r="L7" s="44" t="n">
        <x:v>87</x:v>
      </x:c>
      <x:c r="M7" s="44"/>
      <x:c r="N7" s="45" t="n">
        <x:f>IF(AND(J7&lt;&gt;"",L7&lt;&gt;0),J7/L7,"")</x:f>
        <x:v>1.4942528735632183</x:v>
      </x:c>
      <x:c r="O7" s="45" t="str">
        <x:f>IF(AND(K7&lt;&gt;"",L7&lt;&gt;0),K7/L7,"")</x:f>
      </x:c>
      <x:c r="P7" s="46" t="str">
        <x:f>IF(AND(K7&lt;&gt;"",K7&lt;&gt;0,L7&lt;&gt;""),L7/K7,"")</x:f>
      </x:c>
      <x:c r="Q7" s="46" t="str">
        <x:f>IF(AND(L7&lt;&gt;"",L7&lt;&gt;0,M7&lt;&gt;""),M7/L7,"")</x:f>
      </x:c>
      <x:c r="R7" s="45" t="n">
        <x:f>IF(N7&lt;&gt;"",N7,IF(O7&lt;&gt;"",O7,""))</x:f>
        <x:v>1.4942528735632183</x:v>
      </x:c>
      <x:c r="S7" s="2" t="str">
        <x:f>IF(N7&lt;&gt;"","志愿/合格",IF(O7&lt;&gt;"","受验/合格",""))</x:f>
        <x:v>志愿/合格</x:v>
      </x:c>
      <x:c r="T7" s="2" t="str">
        <x:v>官方</x:v>
      </x:c>
      <x:c r="U7" s="2" t="str">
        <x:v>高</x:v>
      </x:c>
      <x:c r="V7" s="27" t="str">
        <x:v>2024年度入学試験結果</x:v>
      </x:c>
      <x:c r="W7" s="27" t="str">
        <x:v>PDF 1頁「修士課程」該当専攻行</x:v>
      </x:c>
      <x:c r="X7" s="27" t="str">
        <x:v>https://www.t.u-tokyo.ac.jp/hubfs/2024_kekka_J.pdf</x:v>
      </x:c>
      <x:c r="Y7" s="27" t="str">
        <x:v>専攻単位。括弧内の外国人等内数は合計に含まれる。</x:v>
      </x:c>
      <x:c r="Z7" s="47" t="str">
        <x:v>受験者数・入学者数は表に掲載なし。</x:v>
      </x:c>
    </x:row>
    <x:row r="8" ht="38" customHeight="1">
      <x:c r="A8" s="2" t="str">
        <x:v>東京大学</x:v>
      </x:c>
      <x:c r="B8" s="2" t="str">
        <x:v>工学系研究科</x:v>
      </x:c>
      <x:c r="C8" s="2" t="str">
        <x:v>機械工学専攻</x:v>
      </x:c>
      <x:c r="D8" s="44" t="n">
        <x:v>2025</x:v>
      </x:c>
      <x:c r="E8" s="27" t="str">
        <x:v>全年合计（前年10月・当年4月入学）</x:v>
      </x:c>
      <x:c r="F8" s="27" t="str">
        <x:v>修士課程</x:v>
      </x:c>
      <x:c r="G8" s="27" t="str">
        <x:v>全类别合计（外国人等特別選考を含む）</x:v>
      </x:c>
      <x:c r="H8" s="27" t="str">
        <x:v>专攻/系</x:v>
      </x:c>
      <x:c r="I8" s="44" t="n">
        <x:v>52</x:v>
      </x:c>
      <x:c r="J8" s="44" t="n">
        <x:v>146</x:v>
      </x:c>
      <x:c r="K8" s="44"/>
      <x:c r="L8" s="44" t="n">
        <x:v>96</x:v>
      </x:c>
      <x:c r="M8" s="44"/>
      <x:c r="N8" s="45" t="n">
        <x:f>IF(AND(J8&lt;&gt;"",L8&lt;&gt;0),J8/L8,"")</x:f>
        <x:v>1.5208333333333333</x:v>
      </x:c>
      <x:c r="O8" s="45" t="str">
        <x:f>IF(AND(K8&lt;&gt;"",L8&lt;&gt;0),K8/L8,"")</x:f>
      </x:c>
      <x:c r="P8" s="46" t="str">
        <x:f>IF(AND(K8&lt;&gt;"",K8&lt;&gt;0,L8&lt;&gt;""),L8/K8,"")</x:f>
      </x:c>
      <x:c r="Q8" s="46" t="str">
        <x:f>IF(AND(L8&lt;&gt;"",L8&lt;&gt;0,M8&lt;&gt;""),M8/L8,"")</x:f>
      </x:c>
      <x:c r="R8" s="45" t="n">
        <x:f>IF(N8&lt;&gt;"",N8,IF(O8&lt;&gt;"",O8,""))</x:f>
        <x:v>1.5208333333333333</x:v>
      </x:c>
      <x:c r="S8" s="2" t="str">
        <x:f>IF(N8&lt;&gt;"","志愿/合格",IF(O8&lt;&gt;"","受验/合格",""))</x:f>
        <x:v>志愿/合格</x:v>
      </x:c>
      <x:c r="T8" s="2" t="str">
        <x:v>官方</x:v>
      </x:c>
      <x:c r="U8" s="2" t="str">
        <x:v>高</x:v>
      </x:c>
      <x:c r="V8" s="27" t="str">
        <x:v>2025年度入学試験結果</x:v>
      </x:c>
      <x:c r="W8" s="27" t="str">
        <x:v>PDF 1頁「修士課程」該当専攻行</x:v>
      </x:c>
      <x:c r="X8" s="27" t="str">
        <x:v>https://www.t.u-tokyo.ac.jp/hubfs/graduate/2025/2025_kekka_J.pdf</x:v>
      </x:c>
      <x:c r="Y8" s="27" t="str">
        <x:v>専攻単位。括弧内の外国人等内数は合計に含まれる。</x:v>
      </x:c>
      <x:c r="Z8" s="47" t="str">
        <x:v>受験者数・入学者数は表に掲載なし。</x:v>
      </x:c>
    </x:row>
    <x:row r="9" ht="38" customHeight="1">
      <x:c r="A9" s="2" t="str">
        <x:v>東京大学</x:v>
      </x:c>
      <x:c r="B9" s="2" t="str">
        <x:v>工学系研究科</x:v>
      </x:c>
      <x:c r="C9" s="2" t="str">
        <x:v>機械工学専攻</x:v>
      </x:c>
      <x:c r="D9" s="44" t="n">
        <x:v>2026</x:v>
      </x:c>
      <x:c r="E9" s="27" t="str">
        <x:v>全年合计（前年10月・当年4月入学）</x:v>
      </x:c>
      <x:c r="F9" s="27" t="str">
        <x:v>修士課程</x:v>
      </x:c>
      <x:c r="G9" s="27" t="str">
        <x:v>全类别合计（外国人等特別選考を含む）</x:v>
      </x:c>
      <x:c r="H9" s="27" t="str">
        <x:v>专攻/系</x:v>
      </x:c>
      <x:c r="I9" s="44" t="n">
        <x:v>52</x:v>
      </x:c>
      <x:c r="J9" s="44" t="n">
        <x:v>161</x:v>
      </x:c>
      <x:c r="K9" s="44"/>
      <x:c r="L9" s="44" t="n">
        <x:v>95</x:v>
      </x:c>
      <x:c r="M9" s="44"/>
      <x:c r="N9" s="45" t="n">
        <x:f>IF(AND(J9&lt;&gt;"",L9&lt;&gt;0),J9/L9,"")</x:f>
        <x:v>1.694736842105263</x:v>
      </x:c>
      <x:c r="O9" s="45" t="str">
        <x:f>IF(AND(K9&lt;&gt;"",L9&lt;&gt;0),K9/L9,"")</x:f>
      </x:c>
      <x:c r="P9" s="46" t="str">
        <x:f>IF(AND(K9&lt;&gt;"",K9&lt;&gt;0,L9&lt;&gt;""),L9/K9,"")</x:f>
      </x:c>
      <x:c r="Q9" s="46" t="str">
        <x:f>IF(AND(L9&lt;&gt;"",L9&lt;&gt;0,M9&lt;&gt;""),M9/L9,"")</x:f>
      </x:c>
      <x:c r="R9" s="45" t="n">
        <x:f>IF(N9&lt;&gt;"",N9,IF(O9&lt;&gt;"",O9,""))</x:f>
        <x:v>1.694736842105263</x:v>
      </x:c>
      <x:c r="S9" s="2" t="str">
        <x:f>IF(N9&lt;&gt;"","志愿/合格",IF(O9&lt;&gt;"","受验/合格",""))</x:f>
        <x:v>志愿/合格</x:v>
      </x:c>
      <x:c r="T9" s="2" t="str">
        <x:v>官方</x:v>
      </x:c>
      <x:c r="U9" s="2" t="str">
        <x:v>高</x:v>
      </x:c>
      <x:c r="V9" s="27" t="str">
        <x:v>2026年度入学試験結果</x:v>
      </x:c>
      <x:c r="W9" s="27" t="str">
        <x:v>PDF 1頁「修士課程」該当専攻行</x:v>
      </x:c>
      <x:c r="X9" s="27" t="str">
        <x:v>https://www.t.u-tokyo.ac.jp/hubfs/admission/2026/2026_kekka_J.pdf</x:v>
      </x:c>
      <x:c r="Y9" s="27" t="str">
        <x:v>専攻単位。括弧内の外国人等内数は合計に含まれる。</x:v>
      </x:c>
      <x:c r="Z9" s="47" t="str">
        <x:v>受験者数・入学者数は表に掲載なし。</x:v>
      </x:c>
    </x:row>
    <x:row r="10" ht="38" customHeight="1">
      <x:c r="A10" s="2" t="str">
        <x:v>東京大学</x:v>
      </x:c>
      <x:c r="B10" s="2" t="str">
        <x:v>工学系研究科</x:v>
      </x:c>
      <x:c r="C10" s="2" t="str">
        <x:v>技術経営戦略学専攻</x:v>
      </x:c>
      <x:c r="D10" s="44" t="n">
        <x:v>2022</x:v>
      </x:c>
      <x:c r="E10" s="27" t="str">
        <x:v>全年合计（前年10月・当年4月入学）</x:v>
      </x:c>
      <x:c r="F10" s="27" t="str">
        <x:v>修士課程</x:v>
      </x:c>
      <x:c r="G10" s="27" t="str">
        <x:v>全类别合计（外国人等特別選考を含む）</x:v>
      </x:c>
      <x:c r="H10" s="27" t="str">
        <x:v>专攻/系</x:v>
      </x:c>
      <x:c r="I10" s="44" t="n">
        <x:v>14</x:v>
      </x:c>
      <x:c r="J10" s="44" t="n">
        <x:v>73</x:v>
      </x:c>
      <x:c r="K10" s="44"/>
      <x:c r="L10" s="44" t="n">
        <x:v>45</x:v>
      </x:c>
      <x:c r="M10" s="44"/>
      <x:c r="N10" s="45" t="n">
        <x:f>IF(AND(J10&lt;&gt;"",L10&lt;&gt;0),J10/L10,"")</x:f>
        <x:v>1.6222222222222222</x:v>
      </x:c>
      <x:c r="O10" s="45" t="str">
        <x:f>IF(AND(K10&lt;&gt;"",L10&lt;&gt;0),K10/L10,"")</x:f>
      </x:c>
      <x:c r="P10" s="46" t="str">
        <x:f>IF(AND(K10&lt;&gt;"",K10&lt;&gt;0,L10&lt;&gt;""),L10/K10,"")</x:f>
      </x:c>
      <x:c r="Q10" s="46" t="str">
        <x:f>IF(AND(L10&lt;&gt;"",L10&lt;&gt;0,M10&lt;&gt;""),M10/L10,"")</x:f>
      </x:c>
      <x:c r="R10" s="45" t="n">
        <x:f>IF(N10&lt;&gt;"",N10,IF(O10&lt;&gt;"",O10,""))</x:f>
        <x:v>1.6222222222222222</x:v>
      </x:c>
      <x:c r="S10" s="2" t="str">
        <x:f>IF(N10&lt;&gt;"","志愿/合格",IF(O10&lt;&gt;"","受验/合格",""))</x:f>
        <x:v>志愿/合格</x:v>
      </x:c>
      <x:c r="T10" s="2" t="str">
        <x:v>官方</x:v>
      </x:c>
      <x:c r="U10" s="2" t="str">
        <x:v>高</x:v>
      </x:c>
      <x:c r="V10" s="27" t="str">
        <x:v>2022年度入学試験結果</x:v>
      </x:c>
      <x:c r="W10" s="27" t="str">
        <x:v>PDF 1頁「修士課程」該当専攻行</x:v>
      </x:c>
      <x:c r="X10" s="27" t="str">
        <x:v>https://www.t.u-tokyo.ac.jp/hubfs/graduate/2022/0407/001/2022_kekka_J.pdf</x:v>
      </x:c>
      <x:c r="Y10" s="27" t="str">
        <x:v>専攻単位。括弧内の外国人等内数は合計に含まれる。</x:v>
      </x:c>
      <x:c r="Z10" s="47" t="str">
        <x:v>受験者数・入学者数は表に掲載なし。</x:v>
      </x:c>
    </x:row>
    <x:row r="11" ht="38" customHeight="1">
      <x:c r="A11" s="2" t="str">
        <x:v>東京大学</x:v>
      </x:c>
      <x:c r="B11" s="2" t="str">
        <x:v>工学系研究科</x:v>
      </x:c>
      <x:c r="C11" s="2" t="str">
        <x:v>技術経営戦略学専攻</x:v>
      </x:c>
      <x:c r="D11" s="44" t="n">
        <x:v>2023</x:v>
      </x:c>
      <x:c r="E11" s="27" t="str">
        <x:v>全年合计（前年10月・当年4月入学）</x:v>
      </x:c>
      <x:c r="F11" s="27" t="str">
        <x:v>修士課程</x:v>
      </x:c>
      <x:c r="G11" s="27" t="str">
        <x:v>全类别合计（外国人等特別選考を含む）</x:v>
      </x:c>
      <x:c r="H11" s="27" t="str">
        <x:v>专攻/系</x:v>
      </x:c>
      <x:c r="I11" s="44" t="n">
        <x:v>14</x:v>
      </x:c>
      <x:c r="J11" s="44" t="n">
        <x:v>75</x:v>
      </x:c>
      <x:c r="K11" s="44"/>
      <x:c r="L11" s="44" t="n">
        <x:v>44</x:v>
      </x:c>
      <x:c r="M11" s="44"/>
      <x:c r="N11" s="45" t="n">
        <x:f>IF(AND(J11&lt;&gt;"",L11&lt;&gt;0),J11/L11,"")</x:f>
        <x:v>1.7045454545454546</x:v>
      </x:c>
      <x:c r="O11" s="45" t="str">
        <x:f>IF(AND(K11&lt;&gt;"",L11&lt;&gt;0),K11/L11,"")</x:f>
      </x:c>
      <x:c r="P11" s="46" t="str">
        <x:f>IF(AND(K11&lt;&gt;"",K11&lt;&gt;0,L11&lt;&gt;""),L11/K11,"")</x:f>
      </x:c>
      <x:c r="Q11" s="46" t="str">
        <x:f>IF(AND(L11&lt;&gt;"",L11&lt;&gt;0,M11&lt;&gt;""),M11/L11,"")</x:f>
      </x:c>
      <x:c r="R11" s="45" t="n">
        <x:f>IF(N11&lt;&gt;"",N11,IF(O11&lt;&gt;"",O11,""))</x:f>
        <x:v>1.7045454545454546</x:v>
      </x:c>
      <x:c r="S11" s="2" t="str">
        <x:f>IF(N11&lt;&gt;"","志愿/合格",IF(O11&lt;&gt;"","受验/合格",""))</x:f>
        <x:v>志愿/合格</x:v>
      </x:c>
      <x:c r="T11" s="2" t="str">
        <x:v>官方</x:v>
      </x:c>
      <x:c r="U11" s="2" t="str">
        <x:v>高</x:v>
      </x:c>
      <x:c r="V11" s="27" t="str">
        <x:v>2023年度入学試験結果</x:v>
      </x:c>
      <x:c r="W11" s="27" t="str">
        <x:v>PDF 1頁「修士課程」該当専攻行</x:v>
      </x:c>
      <x:c r="X11" s="27" t="str">
        <x:v>https://www.t.u-tokyo.ac.jp/hubfs/2023_kekka_J.pdf</x:v>
      </x:c>
      <x:c r="Y11" s="27" t="str">
        <x:v>専攻単位。括弧内の外国人等内数は合計に含まれる。</x:v>
      </x:c>
      <x:c r="Z11" s="47" t="str">
        <x:v>受験者数・入学者数は表に掲載なし。</x:v>
      </x:c>
    </x:row>
    <x:row r="12" ht="38" customHeight="1">
      <x:c r="A12" s="2" t="str">
        <x:v>東京大学</x:v>
      </x:c>
      <x:c r="B12" s="2" t="str">
        <x:v>工学系研究科</x:v>
      </x:c>
      <x:c r="C12" s="2" t="str">
        <x:v>技術経営戦略学専攻</x:v>
      </x:c>
      <x:c r="D12" s="44" t="n">
        <x:v>2024</x:v>
      </x:c>
      <x:c r="E12" s="27" t="str">
        <x:v>全年合计（前年10月・当年4月入学）</x:v>
      </x:c>
      <x:c r="F12" s="27" t="str">
        <x:v>修士課程</x:v>
      </x:c>
      <x:c r="G12" s="27" t="str">
        <x:v>全类别合计（外国人等特別選考を含む）</x:v>
      </x:c>
      <x:c r="H12" s="27" t="str">
        <x:v>专攻/系</x:v>
      </x:c>
      <x:c r="I12" s="44" t="n">
        <x:v>14</x:v>
      </x:c>
      <x:c r="J12" s="44" t="n">
        <x:v>82</x:v>
      </x:c>
      <x:c r="K12" s="44"/>
      <x:c r="L12" s="44" t="n">
        <x:v>39</x:v>
      </x:c>
      <x:c r="M12" s="44"/>
      <x:c r="N12" s="45" t="n">
        <x:f>IF(AND(J12&lt;&gt;"",L12&lt;&gt;0),J12/L12,"")</x:f>
        <x:v>2.1025641025641026</x:v>
      </x:c>
      <x:c r="O12" s="45" t="str">
        <x:f>IF(AND(K12&lt;&gt;"",L12&lt;&gt;0),K12/L12,"")</x:f>
      </x:c>
      <x:c r="P12" s="46" t="str">
        <x:f>IF(AND(K12&lt;&gt;"",K12&lt;&gt;0,L12&lt;&gt;""),L12/K12,"")</x:f>
      </x:c>
      <x:c r="Q12" s="46" t="str">
        <x:f>IF(AND(L12&lt;&gt;"",L12&lt;&gt;0,M12&lt;&gt;""),M12/L12,"")</x:f>
      </x:c>
      <x:c r="R12" s="45" t="n">
        <x:f>IF(N12&lt;&gt;"",N12,IF(O12&lt;&gt;"",O12,""))</x:f>
        <x:v>2.1025641025641026</x:v>
      </x:c>
      <x:c r="S12" s="2" t="str">
        <x:f>IF(N12&lt;&gt;"","志愿/合格",IF(O12&lt;&gt;"","受验/合格",""))</x:f>
        <x:v>志愿/合格</x:v>
      </x:c>
      <x:c r="T12" s="2" t="str">
        <x:v>官方</x:v>
      </x:c>
      <x:c r="U12" s="2" t="str">
        <x:v>高</x:v>
      </x:c>
      <x:c r="V12" s="27" t="str">
        <x:v>2024年度入学試験結果</x:v>
      </x:c>
      <x:c r="W12" s="27" t="str">
        <x:v>PDF 1頁「修士課程」該当専攻行</x:v>
      </x:c>
      <x:c r="X12" s="27" t="str">
        <x:v>https://www.t.u-tokyo.ac.jp/hubfs/2024_kekka_J.pdf</x:v>
      </x:c>
      <x:c r="Y12" s="27" t="str">
        <x:v>専攻単位。括弧内の外国人等内数は合計に含まれる。</x:v>
      </x:c>
      <x:c r="Z12" s="47" t="str">
        <x:v>受験者数・入学者数は表に掲載なし。</x:v>
      </x:c>
    </x:row>
    <x:row r="13" ht="38" customHeight="1">
      <x:c r="A13" s="2" t="str">
        <x:v>東京大学</x:v>
      </x:c>
      <x:c r="B13" s="2" t="str">
        <x:v>工学系研究科</x:v>
      </x:c>
      <x:c r="C13" s="2" t="str">
        <x:v>技術経営戦略学専攻</x:v>
      </x:c>
      <x:c r="D13" s="44" t="n">
        <x:v>2025</x:v>
      </x:c>
      <x:c r="E13" s="27" t="str">
        <x:v>全年合计（前年10月・当年4月入学）</x:v>
      </x:c>
      <x:c r="F13" s="27" t="str">
        <x:v>修士課程</x:v>
      </x:c>
      <x:c r="G13" s="27" t="str">
        <x:v>全类别合计（外国人等特別選考を含む）</x:v>
      </x:c>
      <x:c r="H13" s="27" t="str">
        <x:v>专攻/系</x:v>
      </x:c>
      <x:c r="I13" s="44" t="n">
        <x:v>14</x:v>
      </x:c>
      <x:c r="J13" s="44" t="n">
        <x:v>118</x:v>
      </x:c>
      <x:c r="K13" s="44"/>
      <x:c r="L13" s="44" t="n">
        <x:v>44</x:v>
      </x:c>
      <x:c r="M13" s="44"/>
      <x:c r="N13" s="45" t="n">
        <x:f>IF(AND(J13&lt;&gt;"",L13&lt;&gt;0),J13/L13,"")</x:f>
        <x:v>2.6818181818181817</x:v>
      </x:c>
      <x:c r="O13" s="45" t="str">
        <x:f>IF(AND(K13&lt;&gt;"",L13&lt;&gt;0),K13/L13,"")</x:f>
      </x:c>
      <x:c r="P13" s="46" t="str">
        <x:f>IF(AND(K13&lt;&gt;"",K13&lt;&gt;0,L13&lt;&gt;""),L13/K13,"")</x:f>
      </x:c>
      <x:c r="Q13" s="46" t="str">
        <x:f>IF(AND(L13&lt;&gt;"",L13&lt;&gt;0,M13&lt;&gt;""),M13/L13,"")</x:f>
      </x:c>
      <x:c r="R13" s="45" t="n">
        <x:f>IF(N13&lt;&gt;"",N13,IF(O13&lt;&gt;"",O13,""))</x:f>
        <x:v>2.6818181818181817</x:v>
      </x:c>
      <x:c r="S13" s="2" t="str">
        <x:f>IF(N13&lt;&gt;"","志愿/合格",IF(O13&lt;&gt;"","受验/合格",""))</x:f>
        <x:v>志愿/合格</x:v>
      </x:c>
      <x:c r="T13" s="2" t="str">
        <x:v>官方</x:v>
      </x:c>
      <x:c r="U13" s="2" t="str">
        <x:v>高</x:v>
      </x:c>
      <x:c r="V13" s="27" t="str">
        <x:v>2025年度入学試験結果</x:v>
      </x:c>
      <x:c r="W13" s="27" t="str">
        <x:v>PDF 1頁「修士課程」該当専攻行</x:v>
      </x:c>
      <x:c r="X13" s="27" t="str">
        <x:v>https://www.t.u-tokyo.ac.jp/hubfs/graduate/2025/2025_kekka_J.pdf</x:v>
      </x:c>
      <x:c r="Y13" s="27" t="str">
        <x:v>専攻単位。括弧内の外国人等内数は合計に含まれる。</x:v>
      </x:c>
      <x:c r="Z13" s="47" t="str">
        <x:v>受験者数・入学者数は表に掲載なし。</x:v>
      </x:c>
    </x:row>
    <x:row r="14" ht="38" customHeight="1">
      <x:c r="A14" s="2" t="str">
        <x:v>東京大学</x:v>
      </x:c>
      <x:c r="B14" s="2" t="str">
        <x:v>工学系研究科</x:v>
      </x:c>
      <x:c r="C14" s="2" t="str">
        <x:v>技術経営戦略学専攻</x:v>
      </x:c>
      <x:c r="D14" s="44" t="n">
        <x:v>2026</x:v>
      </x:c>
      <x:c r="E14" s="27" t="str">
        <x:v>全年合计（前年10月・当年4月入学）</x:v>
      </x:c>
      <x:c r="F14" s="27" t="str">
        <x:v>修士課程</x:v>
      </x:c>
      <x:c r="G14" s="27" t="str">
        <x:v>全类别合计（外国人等特別選考を含む）</x:v>
      </x:c>
      <x:c r="H14" s="27" t="str">
        <x:v>专攻/系</x:v>
      </x:c>
      <x:c r="I14" s="44" t="n">
        <x:v>14</x:v>
      </x:c>
      <x:c r="J14" s="44" t="n">
        <x:v>153</x:v>
      </x:c>
      <x:c r="K14" s="44"/>
      <x:c r="L14" s="44" t="n">
        <x:v>43</x:v>
      </x:c>
      <x:c r="M14" s="44"/>
      <x:c r="N14" s="45" t="n">
        <x:f>IF(AND(J14&lt;&gt;"",L14&lt;&gt;0),J14/L14,"")</x:f>
        <x:v>3.558139534883721</x:v>
      </x:c>
      <x:c r="O14" s="45" t="str">
        <x:f>IF(AND(K14&lt;&gt;"",L14&lt;&gt;0),K14/L14,"")</x:f>
      </x:c>
      <x:c r="P14" s="46" t="str">
        <x:f>IF(AND(K14&lt;&gt;"",K14&lt;&gt;0,L14&lt;&gt;""),L14/K14,"")</x:f>
      </x:c>
      <x:c r="Q14" s="46" t="str">
        <x:f>IF(AND(L14&lt;&gt;"",L14&lt;&gt;0,M14&lt;&gt;""),M14/L14,"")</x:f>
      </x:c>
      <x:c r="R14" s="45" t="n">
        <x:f>IF(N14&lt;&gt;"",N14,IF(O14&lt;&gt;"",O14,""))</x:f>
        <x:v>3.558139534883721</x:v>
      </x:c>
      <x:c r="S14" s="2" t="str">
        <x:f>IF(N14&lt;&gt;"","志愿/合格",IF(O14&lt;&gt;"","受验/合格",""))</x:f>
        <x:v>志愿/合格</x:v>
      </x:c>
      <x:c r="T14" s="2" t="str">
        <x:v>官方</x:v>
      </x:c>
      <x:c r="U14" s="2" t="str">
        <x:v>高</x:v>
      </x:c>
      <x:c r="V14" s="27" t="str">
        <x:v>2026年度入学試験結果</x:v>
      </x:c>
      <x:c r="W14" s="27" t="str">
        <x:v>PDF 1頁「修士課程」該当専攻行</x:v>
      </x:c>
      <x:c r="X14" s="27" t="str">
        <x:v>https://www.t.u-tokyo.ac.jp/hubfs/admission/2026/2026_kekka_J.pdf</x:v>
      </x:c>
      <x:c r="Y14" s="27" t="str">
        <x:v>専攻単位。括弧内の外国人等内数は合計に含まれる。</x:v>
      </x:c>
      <x:c r="Z14" s="47" t="str">
        <x:v>受験者数・入学者数は表に掲載なし。</x:v>
      </x:c>
    </x:row>
    <x:row r="15" ht="38" customHeight="1">
      <x:c r="A15" s="2" t="str">
        <x:v>東京大学</x:v>
      </x:c>
      <x:c r="B15" s="2" t="str">
        <x:v>工学系研究科</x:v>
      </x:c>
      <x:c r="C15" s="2" t="str">
        <x:v>電気系工学専攻</x:v>
      </x:c>
      <x:c r="D15" s="44" t="n">
        <x:v>2022</x:v>
      </x:c>
      <x:c r="E15" s="27" t="str">
        <x:v>全年合计（前年10月・当年4月入学）</x:v>
      </x:c>
      <x:c r="F15" s="27" t="str">
        <x:v>修士課程</x:v>
      </x:c>
      <x:c r="G15" s="27" t="str">
        <x:v>全类别合计（外国人等特別選考を含む）</x:v>
      </x:c>
      <x:c r="H15" s="27" t="str">
        <x:v>专攻/系</x:v>
      </x:c>
      <x:c r="I15" s="44" t="n">
        <x:v>70</x:v>
      </x:c>
      <x:c r="J15" s="44" t="n">
        <x:v>166</x:v>
      </x:c>
      <x:c r="K15" s="44"/>
      <x:c r="L15" s="44" t="n">
        <x:v>115</x:v>
      </x:c>
      <x:c r="M15" s="44"/>
      <x:c r="N15" s="45" t="n">
        <x:f>IF(AND(J15&lt;&gt;"",L15&lt;&gt;0),J15/L15,"")</x:f>
        <x:v>1.4434782608695653</x:v>
      </x:c>
      <x:c r="O15" s="45" t="str">
        <x:f>IF(AND(K15&lt;&gt;"",L15&lt;&gt;0),K15/L15,"")</x:f>
      </x:c>
      <x:c r="P15" s="46" t="str">
        <x:f>IF(AND(K15&lt;&gt;"",K15&lt;&gt;0,L15&lt;&gt;""),L15/K15,"")</x:f>
      </x:c>
      <x:c r="Q15" s="46" t="str">
        <x:f>IF(AND(L15&lt;&gt;"",L15&lt;&gt;0,M15&lt;&gt;""),M15/L15,"")</x:f>
      </x:c>
      <x:c r="R15" s="45" t="n">
        <x:f>IF(N15&lt;&gt;"",N15,IF(O15&lt;&gt;"",O15,""))</x:f>
        <x:v>1.4434782608695653</x:v>
      </x:c>
      <x:c r="S15" s="2" t="str">
        <x:f>IF(N15&lt;&gt;"","志愿/合格",IF(O15&lt;&gt;"","受验/合格",""))</x:f>
        <x:v>志愿/合格</x:v>
      </x:c>
      <x:c r="T15" s="2" t="str">
        <x:v>官方</x:v>
      </x:c>
      <x:c r="U15" s="2" t="str">
        <x:v>高</x:v>
      </x:c>
      <x:c r="V15" s="27" t="str">
        <x:v>2022年度入学試験結果</x:v>
      </x:c>
      <x:c r="W15" s="27" t="str">
        <x:v>PDF 1頁「修士課程」該当専攻行</x:v>
      </x:c>
      <x:c r="X15" s="27" t="str">
        <x:v>https://www.t.u-tokyo.ac.jp/hubfs/graduate/2022/0407/001/2022_kekka_J.pdf</x:v>
      </x:c>
      <x:c r="Y15" s="27" t="str">
        <x:v>専攻単位。括弧内の外国人等内数は合計に含まれる。</x:v>
      </x:c>
      <x:c r="Z15" s="47" t="str">
        <x:v>受験者数・入学者数は表に掲載なし。</x:v>
      </x:c>
    </x:row>
    <x:row r="16" ht="38" customHeight="1">
      <x:c r="A16" s="2" t="str">
        <x:v>東京大学</x:v>
      </x:c>
      <x:c r="B16" s="2" t="str">
        <x:v>工学系研究科</x:v>
      </x:c>
      <x:c r="C16" s="2" t="str">
        <x:v>電気系工学専攻</x:v>
      </x:c>
      <x:c r="D16" s="44" t="n">
        <x:v>2023</x:v>
      </x:c>
      <x:c r="E16" s="27" t="str">
        <x:v>全年合计（前年10月・当年4月入学）</x:v>
      </x:c>
      <x:c r="F16" s="27" t="str">
        <x:v>修士課程</x:v>
      </x:c>
      <x:c r="G16" s="27" t="str">
        <x:v>全类别合计（外国人等特別選考を含む）</x:v>
      </x:c>
      <x:c r="H16" s="27" t="str">
        <x:v>专攻/系</x:v>
      </x:c>
      <x:c r="I16" s="44" t="n">
        <x:v>70</x:v>
      </x:c>
      <x:c r="J16" s="44" t="n">
        <x:v>180</x:v>
      </x:c>
      <x:c r="K16" s="44"/>
      <x:c r="L16" s="44" t="n">
        <x:v>125</x:v>
      </x:c>
      <x:c r="M16" s="44"/>
      <x:c r="N16" s="45" t="n">
        <x:f>IF(AND(J16&lt;&gt;"",L16&lt;&gt;0),J16/L16,"")</x:f>
        <x:v>1.44</x:v>
      </x:c>
      <x:c r="O16" s="45" t="str">
        <x:f>IF(AND(K16&lt;&gt;"",L16&lt;&gt;0),K16/L16,"")</x:f>
      </x:c>
      <x:c r="P16" s="46" t="str">
        <x:f>IF(AND(K16&lt;&gt;"",K16&lt;&gt;0,L16&lt;&gt;""),L16/K16,"")</x:f>
      </x:c>
      <x:c r="Q16" s="46" t="str">
        <x:f>IF(AND(L16&lt;&gt;"",L16&lt;&gt;0,M16&lt;&gt;""),M16/L16,"")</x:f>
      </x:c>
      <x:c r="R16" s="45" t="n">
        <x:f>IF(N16&lt;&gt;"",N16,IF(O16&lt;&gt;"",O16,""))</x:f>
        <x:v>1.44</x:v>
      </x:c>
      <x:c r="S16" s="2" t="str">
        <x:f>IF(N16&lt;&gt;"","志愿/合格",IF(O16&lt;&gt;"","受验/合格",""))</x:f>
        <x:v>志愿/合格</x:v>
      </x:c>
      <x:c r="T16" s="2" t="str">
        <x:v>官方</x:v>
      </x:c>
      <x:c r="U16" s="2" t="str">
        <x:v>高</x:v>
      </x:c>
      <x:c r="V16" s="27" t="str">
        <x:v>2023年度入学試験結果</x:v>
      </x:c>
      <x:c r="W16" s="27" t="str">
        <x:v>PDF 1頁「修士課程」該当専攻行</x:v>
      </x:c>
      <x:c r="X16" s="27" t="str">
        <x:v>https://www.t.u-tokyo.ac.jp/hubfs/2023_kekka_J.pdf</x:v>
      </x:c>
      <x:c r="Y16" s="27" t="str">
        <x:v>専攻単位。括弧内の外国人等内数は合計に含まれる。</x:v>
      </x:c>
      <x:c r="Z16" s="47" t="str">
        <x:v>受験者数・入学者数は表に掲載なし。</x:v>
      </x:c>
    </x:row>
    <x:row r="17" ht="38" customHeight="1">
      <x:c r="A17" s="2" t="str">
        <x:v>東京大学</x:v>
      </x:c>
      <x:c r="B17" s="2" t="str">
        <x:v>工学系研究科</x:v>
      </x:c>
      <x:c r="C17" s="2" t="str">
        <x:v>電気系工学専攻</x:v>
      </x:c>
      <x:c r="D17" s="44" t="n">
        <x:v>2024</x:v>
      </x:c>
      <x:c r="E17" s="27" t="str">
        <x:v>全年合计（前年10月・当年4月入学）</x:v>
      </x:c>
      <x:c r="F17" s="27" t="str">
        <x:v>修士課程</x:v>
      </x:c>
      <x:c r="G17" s="27" t="str">
        <x:v>全类别合计（外国人等特別選考を含む）</x:v>
      </x:c>
      <x:c r="H17" s="27" t="str">
        <x:v>专攻/系</x:v>
      </x:c>
      <x:c r="I17" s="44" t="n">
        <x:v>70</x:v>
      </x:c>
      <x:c r="J17" s="44" t="n">
        <x:v>230</x:v>
      </x:c>
      <x:c r="K17" s="44"/>
      <x:c r="L17" s="44" t="n">
        <x:v>163</x:v>
      </x:c>
      <x:c r="M17" s="44"/>
      <x:c r="N17" s="45" t="n">
        <x:f>IF(AND(J17&lt;&gt;"",L17&lt;&gt;0),J17/L17,"")</x:f>
        <x:v>1.4110429447852761</x:v>
      </x:c>
      <x:c r="O17" s="45" t="str">
        <x:f>IF(AND(K17&lt;&gt;"",L17&lt;&gt;0),K17/L17,"")</x:f>
      </x:c>
      <x:c r="P17" s="46" t="str">
        <x:f>IF(AND(K17&lt;&gt;"",K17&lt;&gt;0,L17&lt;&gt;""),L17/K17,"")</x:f>
      </x:c>
      <x:c r="Q17" s="46" t="str">
        <x:f>IF(AND(L17&lt;&gt;"",L17&lt;&gt;0,M17&lt;&gt;""),M17/L17,"")</x:f>
      </x:c>
      <x:c r="R17" s="45" t="n">
        <x:f>IF(N17&lt;&gt;"",N17,IF(O17&lt;&gt;"",O17,""))</x:f>
        <x:v>1.4110429447852761</x:v>
      </x:c>
      <x:c r="S17" s="2" t="str">
        <x:f>IF(N17&lt;&gt;"","志愿/合格",IF(O17&lt;&gt;"","受验/合格",""))</x:f>
        <x:v>志愿/合格</x:v>
      </x:c>
      <x:c r="T17" s="2" t="str">
        <x:v>官方</x:v>
      </x:c>
      <x:c r="U17" s="2" t="str">
        <x:v>高</x:v>
      </x:c>
      <x:c r="V17" s="27" t="str">
        <x:v>2024年度入学試験結果</x:v>
      </x:c>
      <x:c r="W17" s="27" t="str">
        <x:v>PDF 1頁「修士課程」該当専攻行</x:v>
      </x:c>
      <x:c r="X17" s="27" t="str">
        <x:v>https://www.t.u-tokyo.ac.jp/hubfs/2024_kekka_J.pdf</x:v>
      </x:c>
      <x:c r="Y17" s="27" t="str">
        <x:v>専攻単位。括弧内の外国人等内数は合計に含まれる。</x:v>
      </x:c>
      <x:c r="Z17" s="47" t="str">
        <x:v>受験者数・入学者数は表に掲載なし。</x:v>
      </x:c>
    </x:row>
    <x:row r="18" ht="38" customHeight="1">
      <x:c r="A18" s="2" t="str">
        <x:v>東京大学</x:v>
      </x:c>
      <x:c r="B18" s="2" t="str">
        <x:v>工学系研究科</x:v>
      </x:c>
      <x:c r="C18" s="2" t="str">
        <x:v>電気系工学専攻</x:v>
      </x:c>
      <x:c r="D18" s="44" t="n">
        <x:v>2025</x:v>
      </x:c>
      <x:c r="E18" s="27" t="str">
        <x:v>全年合计（前年10月・当年4月入学）</x:v>
      </x:c>
      <x:c r="F18" s="27" t="str">
        <x:v>修士課程</x:v>
      </x:c>
      <x:c r="G18" s="27" t="str">
        <x:v>全类别合计（外国人等特別選考を含む）</x:v>
      </x:c>
      <x:c r="H18" s="27" t="str">
        <x:v>专攻/系</x:v>
      </x:c>
      <x:c r="I18" s="44" t="n">
        <x:v>70</x:v>
      </x:c>
      <x:c r="J18" s="44" t="n">
        <x:v>317</x:v>
      </x:c>
      <x:c r="K18" s="44"/>
      <x:c r="L18" s="44" t="n">
        <x:v>157</x:v>
      </x:c>
      <x:c r="M18" s="44"/>
      <x:c r="N18" s="45" t="n">
        <x:f>IF(AND(J18&lt;&gt;"",L18&lt;&gt;0),J18/L18,"")</x:f>
        <x:v>2.0191082802547773</x:v>
      </x:c>
      <x:c r="O18" s="45" t="str">
        <x:f>IF(AND(K18&lt;&gt;"",L18&lt;&gt;0),K18/L18,"")</x:f>
      </x:c>
      <x:c r="P18" s="46" t="str">
        <x:f>IF(AND(K18&lt;&gt;"",K18&lt;&gt;0,L18&lt;&gt;""),L18/K18,"")</x:f>
      </x:c>
      <x:c r="Q18" s="46" t="str">
        <x:f>IF(AND(L18&lt;&gt;"",L18&lt;&gt;0,M18&lt;&gt;""),M18/L18,"")</x:f>
      </x:c>
      <x:c r="R18" s="45" t="n">
        <x:f>IF(N18&lt;&gt;"",N18,IF(O18&lt;&gt;"",O18,""))</x:f>
        <x:v>2.0191082802547773</x:v>
      </x:c>
      <x:c r="S18" s="2" t="str">
        <x:f>IF(N18&lt;&gt;"","志愿/合格",IF(O18&lt;&gt;"","受验/合格",""))</x:f>
        <x:v>志愿/合格</x:v>
      </x:c>
      <x:c r="T18" s="2" t="str">
        <x:v>官方</x:v>
      </x:c>
      <x:c r="U18" s="2" t="str">
        <x:v>高</x:v>
      </x:c>
      <x:c r="V18" s="27" t="str">
        <x:v>2025年度入学試験結果</x:v>
      </x:c>
      <x:c r="W18" s="27" t="str">
        <x:v>PDF 1頁「修士課程」該当専攻行</x:v>
      </x:c>
      <x:c r="X18" s="27" t="str">
        <x:v>https://www.t.u-tokyo.ac.jp/hubfs/graduate/2025/2025_kekka_J.pdf</x:v>
      </x:c>
      <x:c r="Y18" s="27" t="str">
        <x:v>専攻単位。括弧内の外国人等内数は合計に含まれる。</x:v>
      </x:c>
      <x:c r="Z18" s="47" t="str">
        <x:v>受験者数・入学者数は表に掲載なし。</x:v>
      </x:c>
    </x:row>
    <x:row r="19" ht="38" customHeight="1">
      <x:c r="A19" s="2" t="str">
        <x:v>東京大学</x:v>
      </x:c>
      <x:c r="B19" s="2" t="str">
        <x:v>工学系研究科</x:v>
      </x:c>
      <x:c r="C19" s="2" t="str">
        <x:v>電気系工学専攻</x:v>
      </x:c>
      <x:c r="D19" s="44" t="n">
        <x:v>2026</x:v>
      </x:c>
      <x:c r="E19" s="27" t="str">
        <x:v>全年合计（前年10月・当年4月入学）</x:v>
      </x:c>
      <x:c r="F19" s="27" t="str">
        <x:v>修士課程</x:v>
      </x:c>
      <x:c r="G19" s="27" t="str">
        <x:v>全类别合计（外国人等特別選考を含む）</x:v>
      </x:c>
      <x:c r="H19" s="27" t="str">
        <x:v>专攻/系</x:v>
      </x:c>
      <x:c r="I19" s="44" t="n">
        <x:v>70</x:v>
      </x:c>
      <x:c r="J19" s="44" t="n">
        <x:v>395</x:v>
      </x:c>
      <x:c r="K19" s="44"/>
      <x:c r="L19" s="44" t="n">
        <x:v>161</x:v>
      </x:c>
      <x:c r="M19" s="44"/>
      <x:c r="N19" s="45" t="n">
        <x:f>IF(AND(J19&lt;&gt;"",L19&lt;&gt;0),J19/L19,"")</x:f>
        <x:v>2.453416149068323</x:v>
      </x:c>
      <x:c r="O19" s="45" t="str">
        <x:f>IF(AND(K19&lt;&gt;"",L19&lt;&gt;0),K19/L19,"")</x:f>
      </x:c>
      <x:c r="P19" s="46" t="str">
        <x:f>IF(AND(K19&lt;&gt;"",K19&lt;&gt;0,L19&lt;&gt;""),L19/K19,"")</x:f>
      </x:c>
      <x:c r="Q19" s="46" t="str">
        <x:f>IF(AND(L19&lt;&gt;"",L19&lt;&gt;0,M19&lt;&gt;""),M19/L19,"")</x:f>
      </x:c>
      <x:c r="R19" s="45" t="n">
        <x:f>IF(N19&lt;&gt;"",N19,IF(O19&lt;&gt;"",O19,""))</x:f>
        <x:v>2.453416149068323</x:v>
      </x:c>
      <x:c r="S19" s="2" t="str">
        <x:f>IF(N19&lt;&gt;"","志愿/合格",IF(O19&lt;&gt;"","受验/合格",""))</x:f>
        <x:v>志愿/合格</x:v>
      </x:c>
      <x:c r="T19" s="2" t="str">
        <x:v>官方</x:v>
      </x:c>
      <x:c r="U19" s="2" t="str">
        <x:v>高</x:v>
      </x:c>
      <x:c r="V19" s="27" t="str">
        <x:v>2026年度入学試験結果</x:v>
      </x:c>
      <x:c r="W19" s="27" t="str">
        <x:v>PDF 1頁「修士課程」該当専攻行</x:v>
      </x:c>
      <x:c r="X19" s="27" t="str">
        <x:v>https://www.t.u-tokyo.ac.jp/hubfs/admission/2026/2026_kekka_J.pdf</x:v>
      </x:c>
      <x:c r="Y19" s="27" t="str">
        <x:v>専攻単位。括弧内の外国人等内数は合計に含まれる。</x:v>
      </x:c>
      <x:c r="Z19" s="47" t="str">
        <x:v>受験者数・入学者数は表に掲載なし。</x:v>
      </x:c>
    </x:row>
    <x:row r="20" ht="38" customHeight="1">
      <x:c r="A20" s="2" t="str">
        <x:v>東京大学</x:v>
      </x:c>
      <x:c r="B20" s="2" t="str">
        <x:v>工学系研究科</x:v>
      </x:c>
      <x:c r="C20" s="2" t="str">
        <x:v>都市工学専攻</x:v>
      </x:c>
      <x:c r="D20" s="44" t="n">
        <x:v>2022</x:v>
      </x:c>
      <x:c r="E20" s="27" t="str">
        <x:v>全年合计（前年10月・当年4月入学）</x:v>
      </x:c>
      <x:c r="F20" s="27" t="str">
        <x:v>修士課程</x:v>
      </x:c>
      <x:c r="G20" s="27" t="str">
        <x:v>全类别合计（外国人等特別選考を含む）</x:v>
      </x:c>
      <x:c r="H20" s="27" t="str">
        <x:v>专攻/系</x:v>
      </x:c>
      <x:c r="I20" s="44" t="n">
        <x:v>25</x:v>
      </x:c>
      <x:c r="J20" s="44" t="n">
        <x:v>85</x:v>
      </x:c>
      <x:c r="K20" s="44"/>
      <x:c r="L20" s="44" t="n">
        <x:v>44</x:v>
      </x:c>
      <x:c r="M20" s="44"/>
      <x:c r="N20" s="45" t="n">
        <x:f>IF(AND(J20&lt;&gt;"",L20&lt;&gt;0),J20/L20,"")</x:f>
        <x:v>1.9318181818181819</x:v>
      </x:c>
      <x:c r="O20" s="45" t="str">
        <x:f>IF(AND(K20&lt;&gt;"",L20&lt;&gt;0),K20/L20,"")</x:f>
      </x:c>
      <x:c r="P20" s="46" t="str">
        <x:f>IF(AND(K20&lt;&gt;"",K20&lt;&gt;0,L20&lt;&gt;""),L20/K20,"")</x:f>
      </x:c>
      <x:c r="Q20" s="46" t="str">
        <x:f>IF(AND(L20&lt;&gt;"",L20&lt;&gt;0,M20&lt;&gt;""),M20/L20,"")</x:f>
      </x:c>
      <x:c r="R20" s="45" t="n">
        <x:f>IF(N20&lt;&gt;"",N20,IF(O20&lt;&gt;"",O20,""))</x:f>
        <x:v>1.9318181818181819</x:v>
      </x:c>
      <x:c r="S20" s="2" t="str">
        <x:f>IF(N20&lt;&gt;"","志愿/合格",IF(O20&lt;&gt;"","受验/合格",""))</x:f>
        <x:v>志愿/合格</x:v>
      </x:c>
      <x:c r="T20" s="2" t="str">
        <x:v>官方</x:v>
      </x:c>
      <x:c r="U20" s="2" t="str">
        <x:v>高</x:v>
      </x:c>
      <x:c r="V20" s="27" t="str">
        <x:v>2022年度入学試験結果</x:v>
      </x:c>
      <x:c r="W20" s="27" t="str">
        <x:v>PDF 1頁「修士課程」該当専攻行</x:v>
      </x:c>
      <x:c r="X20" s="27" t="str">
        <x:v>https://www.t.u-tokyo.ac.jp/hubfs/graduate/2022/0407/001/2022_kekka_J.pdf</x:v>
      </x:c>
      <x:c r="Y20" s="27" t="str">
        <x:v>専攻単位。括弧内の外国人等内数は合計に含まれる。</x:v>
      </x:c>
      <x:c r="Z20" s="47" t="str">
        <x:v>受験者数・入学者数は表に掲載なし。</x:v>
      </x:c>
    </x:row>
    <x:row r="21" ht="38" customHeight="1">
      <x:c r="A21" s="2" t="str">
        <x:v>東京大学</x:v>
      </x:c>
      <x:c r="B21" s="2" t="str">
        <x:v>工学系研究科</x:v>
      </x:c>
      <x:c r="C21" s="2" t="str">
        <x:v>都市工学専攻</x:v>
      </x:c>
      <x:c r="D21" s="44" t="n">
        <x:v>2023</x:v>
      </x:c>
      <x:c r="E21" s="27" t="str">
        <x:v>全年合计（前年10月・当年4月入学）</x:v>
      </x:c>
      <x:c r="F21" s="27" t="str">
        <x:v>修士課程</x:v>
      </x:c>
      <x:c r="G21" s="27" t="str">
        <x:v>全类别合计（外国人等特別選考を含む）</x:v>
      </x:c>
      <x:c r="H21" s="27" t="str">
        <x:v>专攻/系</x:v>
      </x:c>
      <x:c r="I21" s="44" t="n">
        <x:v>25</x:v>
      </x:c>
      <x:c r="J21" s="44" t="n">
        <x:v>79</x:v>
      </x:c>
      <x:c r="K21" s="44"/>
      <x:c r="L21" s="44" t="n">
        <x:v>39</x:v>
      </x:c>
      <x:c r="M21" s="44"/>
      <x:c r="N21" s="45" t="n">
        <x:f>IF(AND(J21&lt;&gt;"",L21&lt;&gt;0),J21/L21,"")</x:f>
        <x:v>2.0256410256410255</x:v>
      </x:c>
      <x:c r="O21" s="45" t="str">
        <x:f>IF(AND(K21&lt;&gt;"",L21&lt;&gt;0),K21/L21,"")</x:f>
      </x:c>
      <x:c r="P21" s="46" t="str">
        <x:f>IF(AND(K21&lt;&gt;"",K21&lt;&gt;0,L21&lt;&gt;""),L21/K21,"")</x:f>
      </x:c>
      <x:c r="Q21" s="46" t="str">
        <x:f>IF(AND(L21&lt;&gt;"",L21&lt;&gt;0,M21&lt;&gt;""),M21/L21,"")</x:f>
      </x:c>
      <x:c r="R21" s="45" t="n">
        <x:f>IF(N21&lt;&gt;"",N21,IF(O21&lt;&gt;"",O21,""))</x:f>
        <x:v>2.0256410256410255</x:v>
      </x:c>
      <x:c r="S21" s="2" t="str">
        <x:f>IF(N21&lt;&gt;"","志愿/合格",IF(O21&lt;&gt;"","受验/合格",""))</x:f>
        <x:v>志愿/合格</x:v>
      </x:c>
      <x:c r="T21" s="2" t="str">
        <x:v>官方</x:v>
      </x:c>
      <x:c r="U21" s="2" t="str">
        <x:v>高</x:v>
      </x:c>
      <x:c r="V21" s="27" t="str">
        <x:v>2023年度入学試験結果</x:v>
      </x:c>
      <x:c r="W21" s="27" t="str">
        <x:v>PDF 1頁「修士課程」該当専攻行</x:v>
      </x:c>
      <x:c r="X21" s="27" t="str">
        <x:v>https://www.t.u-tokyo.ac.jp/hubfs/2023_kekka_J.pdf</x:v>
      </x:c>
      <x:c r="Y21" s="27" t="str">
        <x:v>専攻単位。括弧内の外国人等内数は合計に含まれる。</x:v>
      </x:c>
      <x:c r="Z21" s="47" t="str">
        <x:v>受験者数・入学者数は表に掲載なし。</x:v>
      </x:c>
    </x:row>
    <x:row r="22" ht="38" customHeight="1">
      <x:c r="A22" s="2" t="str">
        <x:v>東京大学</x:v>
      </x:c>
      <x:c r="B22" s="2" t="str">
        <x:v>工学系研究科</x:v>
      </x:c>
      <x:c r="C22" s="2" t="str">
        <x:v>都市工学専攻</x:v>
      </x:c>
      <x:c r="D22" s="44" t="n">
        <x:v>2024</x:v>
      </x:c>
      <x:c r="E22" s="27" t="str">
        <x:v>全年合计（前年10月・当年4月入学）</x:v>
      </x:c>
      <x:c r="F22" s="27" t="str">
        <x:v>修士課程</x:v>
      </x:c>
      <x:c r="G22" s="27" t="str">
        <x:v>全类别合计（外国人等特別選考を含む）</x:v>
      </x:c>
      <x:c r="H22" s="27" t="str">
        <x:v>专攻/系</x:v>
      </x:c>
      <x:c r="I22" s="44" t="n">
        <x:v>25</x:v>
      </x:c>
      <x:c r="J22" s="44" t="n">
        <x:v>66</x:v>
      </x:c>
      <x:c r="K22" s="44"/>
      <x:c r="L22" s="44" t="n">
        <x:v>42</x:v>
      </x:c>
      <x:c r="M22" s="44"/>
      <x:c r="N22" s="45" t="n">
        <x:f>IF(AND(J22&lt;&gt;"",L22&lt;&gt;0),J22/L22,"")</x:f>
        <x:v>1.5714285714285714</x:v>
      </x:c>
      <x:c r="O22" s="45" t="str">
        <x:f>IF(AND(K22&lt;&gt;"",L22&lt;&gt;0),K22/L22,"")</x:f>
      </x:c>
      <x:c r="P22" s="46" t="str">
        <x:f>IF(AND(K22&lt;&gt;"",K22&lt;&gt;0,L22&lt;&gt;""),L22/K22,"")</x:f>
      </x:c>
      <x:c r="Q22" s="46" t="str">
        <x:f>IF(AND(L22&lt;&gt;"",L22&lt;&gt;0,M22&lt;&gt;""),M22/L22,"")</x:f>
      </x:c>
      <x:c r="R22" s="45" t="n">
        <x:f>IF(N22&lt;&gt;"",N22,IF(O22&lt;&gt;"",O22,""))</x:f>
        <x:v>1.5714285714285714</x:v>
      </x:c>
      <x:c r="S22" s="2" t="str">
        <x:f>IF(N22&lt;&gt;"","志愿/合格",IF(O22&lt;&gt;"","受验/合格",""))</x:f>
        <x:v>志愿/合格</x:v>
      </x:c>
      <x:c r="T22" s="2" t="str">
        <x:v>官方</x:v>
      </x:c>
      <x:c r="U22" s="2" t="str">
        <x:v>高</x:v>
      </x:c>
      <x:c r="V22" s="27" t="str">
        <x:v>2024年度入学試験結果</x:v>
      </x:c>
      <x:c r="W22" s="27" t="str">
        <x:v>PDF 1頁「修士課程」該当専攻行</x:v>
      </x:c>
      <x:c r="X22" s="27" t="str">
        <x:v>https://www.t.u-tokyo.ac.jp/hubfs/2024_kekka_J.pdf</x:v>
      </x:c>
      <x:c r="Y22" s="27" t="str">
        <x:v>専攻単位。括弧内の外国人等内数は合計に含まれる。</x:v>
      </x:c>
      <x:c r="Z22" s="47" t="str">
        <x:v>受験者数・入学者数は表に掲載なし。</x:v>
      </x:c>
    </x:row>
    <x:row r="23" ht="38" customHeight="1">
      <x:c r="A23" s="2" t="str">
        <x:v>東京大学</x:v>
      </x:c>
      <x:c r="B23" s="2" t="str">
        <x:v>工学系研究科</x:v>
      </x:c>
      <x:c r="C23" s="2" t="str">
        <x:v>都市工学専攻</x:v>
      </x:c>
      <x:c r="D23" s="44" t="n">
        <x:v>2025</x:v>
      </x:c>
      <x:c r="E23" s="27" t="str">
        <x:v>全年合计（前年10月・当年4月入学）</x:v>
      </x:c>
      <x:c r="F23" s="27" t="str">
        <x:v>修士課程</x:v>
      </x:c>
      <x:c r="G23" s="27" t="str">
        <x:v>全类别合计（外国人等特別選考を含む）</x:v>
      </x:c>
      <x:c r="H23" s="27" t="str">
        <x:v>专攻/系</x:v>
      </x:c>
      <x:c r="I23" s="44" t="n">
        <x:v>25</x:v>
      </x:c>
      <x:c r="J23" s="44" t="n">
        <x:v>74</x:v>
      </x:c>
      <x:c r="K23" s="44"/>
      <x:c r="L23" s="44" t="n">
        <x:v>46</x:v>
      </x:c>
      <x:c r="M23" s="44"/>
      <x:c r="N23" s="45" t="n">
        <x:f>IF(AND(J23&lt;&gt;"",L23&lt;&gt;0),J23/L23,"")</x:f>
        <x:v>1.608695652173913</x:v>
      </x:c>
      <x:c r="O23" s="45" t="str">
        <x:f>IF(AND(K23&lt;&gt;"",L23&lt;&gt;0),K23/L23,"")</x:f>
      </x:c>
      <x:c r="P23" s="46" t="str">
        <x:f>IF(AND(K23&lt;&gt;"",K23&lt;&gt;0,L23&lt;&gt;""),L23/K23,"")</x:f>
      </x:c>
      <x:c r="Q23" s="46" t="str">
        <x:f>IF(AND(L23&lt;&gt;"",L23&lt;&gt;0,M23&lt;&gt;""),M23/L23,"")</x:f>
      </x:c>
      <x:c r="R23" s="45" t="n">
        <x:f>IF(N23&lt;&gt;"",N23,IF(O23&lt;&gt;"",O23,""))</x:f>
        <x:v>1.608695652173913</x:v>
      </x:c>
      <x:c r="S23" s="2" t="str">
        <x:f>IF(N23&lt;&gt;"","志愿/合格",IF(O23&lt;&gt;"","受验/合格",""))</x:f>
        <x:v>志愿/合格</x:v>
      </x:c>
      <x:c r="T23" s="2" t="str">
        <x:v>官方</x:v>
      </x:c>
      <x:c r="U23" s="2" t="str">
        <x:v>高</x:v>
      </x:c>
      <x:c r="V23" s="27" t="str">
        <x:v>2025年度入学試験結果</x:v>
      </x:c>
      <x:c r="W23" s="27" t="str">
        <x:v>PDF 1頁「修士課程」該当専攻行</x:v>
      </x:c>
      <x:c r="X23" s="27" t="str">
        <x:v>https://www.t.u-tokyo.ac.jp/hubfs/graduate/2025/2025_kekka_J.pdf</x:v>
      </x:c>
      <x:c r="Y23" s="27" t="str">
        <x:v>専攻単位。括弧内の外国人等内数は合計に含まれる。</x:v>
      </x:c>
      <x:c r="Z23" s="47" t="str">
        <x:v>受験者数・入学者数は表に掲載なし。</x:v>
      </x:c>
    </x:row>
    <x:row r="24" ht="38" customHeight="1">
      <x:c r="A24" s="2" t="str">
        <x:v>東京大学</x:v>
      </x:c>
      <x:c r="B24" s="2" t="str">
        <x:v>工学系研究科</x:v>
      </x:c>
      <x:c r="C24" s="2" t="str">
        <x:v>都市工学専攻</x:v>
      </x:c>
      <x:c r="D24" s="44" t="n">
        <x:v>2026</x:v>
      </x:c>
      <x:c r="E24" s="27" t="str">
        <x:v>全年合计（前年10月・当年4月入学）</x:v>
      </x:c>
      <x:c r="F24" s="27" t="str">
        <x:v>修士課程</x:v>
      </x:c>
      <x:c r="G24" s="27" t="str">
        <x:v>全类别合计（外国人等特別選考を含む）</x:v>
      </x:c>
      <x:c r="H24" s="27" t="str">
        <x:v>专攻/系</x:v>
      </x:c>
      <x:c r="I24" s="44" t="n">
        <x:v>25</x:v>
      </x:c>
      <x:c r="J24" s="44" t="n">
        <x:v>80</x:v>
      </x:c>
      <x:c r="K24" s="44"/>
      <x:c r="L24" s="44" t="n">
        <x:v>44</x:v>
      </x:c>
      <x:c r="M24" s="44"/>
      <x:c r="N24" s="45" t="n">
        <x:f>IF(AND(J24&lt;&gt;"",L24&lt;&gt;0),J24/L24,"")</x:f>
        <x:v>1.8181818181818181</x:v>
      </x:c>
      <x:c r="O24" s="45" t="str">
        <x:f>IF(AND(K24&lt;&gt;"",L24&lt;&gt;0),K24/L24,"")</x:f>
      </x:c>
      <x:c r="P24" s="46" t="str">
        <x:f>IF(AND(K24&lt;&gt;"",K24&lt;&gt;0,L24&lt;&gt;""),L24/K24,"")</x:f>
      </x:c>
      <x:c r="Q24" s="46" t="str">
        <x:f>IF(AND(L24&lt;&gt;"",L24&lt;&gt;0,M24&lt;&gt;""),M24/L24,"")</x:f>
      </x:c>
      <x:c r="R24" s="45" t="n">
        <x:f>IF(N24&lt;&gt;"",N24,IF(O24&lt;&gt;"",O24,""))</x:f>
        <x:v>1.8181818181818181</x:v>
      </x:c>
      <x:c r="S24" s="2" t="str">
        <x:f>IF(N24&lt;&gt;"","志愿/合格",IF(O24&lt;&gt;"","受验/合格",""))</x:f>
        <x:v>志愿/合格</x:v>
      </x:c>
      <x:c r="T24" s="2" t="str">
        <x:v>官方</x:v>
      </x:c>
      <x:c r="U24" s="2" t="str">
        <x:v>高</x:v>
      </x:c>
      <x:c r="V24" s="27" t="str">
        <x:v>2026年度入学試験結果</x:v>
      </x:c>
      <x:c r="W24" s="27" t="str">
        <x:v>PDF 1頁「修士課程」該当専攻行</x:v>
      </x:c>
      <x:c r="X24" s="27" t="str">
        <x:v>https://www.t.u-tokyo.ac.jp/hubfs/admission/2026/2026_kekka_J.pdf</x:v>
      </x:c>
      <x:c r="Y24" s="27" t="str">
        <x:v>専攻単位。括弧内の外国人等内数は合計に含まれる。</x:v>
      </x:c>
      <x:c r="Z24" s="47" t="str">
        <x:v>受験者数・入学者数は表に掲載なし。</x:v>
      </x:c>
    </x:row>
    <x:row r="25" ht="38" customHeight="1">
      <x:c r="A25" s="2" t="str">
        <x:v>東京大学</x:v>
      </x:c>
      <x:c r="B25" s="2" t="str">
        <x:v>工学系研究科</x:v>
      </x:c>
      <x:c r="C25" s="2" t="str">
        <x:v>物理工学専攻</x:v>
      </x:c>
      <x:c r="D25" s="44" t="n">
        <x:v>2022</x:v>
      </x:c>
      <x:c r="E25" s="27" t="str">
        <x:v>全年合计（前年10月・当年4月入学）</x:v>
      </x:c>
      <x:c r="F25" s="27" t="str">
        <x:v>修士課程</x:v>
      </x:c>
      <x:c r="G25" s="27" t="str">
        <x:v>全类别合计（外国人等特別選考を含む）</x:v>
      </x:c>
      <x:c r="H25" s="27" t="str">
        <x:v>专攻/系</x:v>
      </x:c>
      <x:c r="I25" s="44" t="n">
        <x:v>42</x:v>
      </x:c>
      <x:c r="J25" s="44" t="n">
        <x:v>82</x:v>
      </x:c>
      <x:c r="K25" s="44"/>
      <x:c r="L25" s="44" t="n">
        <x:v>62</x:v>
      </x:c>
      <x:c r="M25" s="44"/>
      <x:c r="N25" s="45" t="n">
        <x:f>IF(AND(J25&lt;&gt;"",L25&lt;&gt;0),J25/L25,"")</x:f>
        <x:v>1.3225806451612903</x:v>
      </x:c>
      <x:c r="O25" s="45" t="str">
        <x:f>IF(AND(K25&lt;&gt;"",L25&lt;&gt;0),K25/L25,"")</x:f>
      </x:c>
      <x:c r="P25" s="46" t="str">
        <x:f>IF(AND(K25&lt;&gt;"",K25&lt;&gt;0,L25&lt;&gt;""),L25/K25,"")</x:f>
      </x:c>
      <x:c r="Q25" s="46" t="str">
        <x:f>IF(AND(L25&lt;&gt;"",L25&lt;&gt;0,M25&lt;&gt;""),M25/L25,"")</x:f>
      </x:c>
      <x:c r="R25" s="45" t="n">
        <x:f>IF(N25&lt;&gt;"",N25,IF(O25&lt;&gt;"",O25,""))</x:f>
        <x:v>1.3225806451612903</x:v>
      </x:c>
      <x:c r="S25" s="2" t="str">
        <x:f>IF(N25&lt;&gt;"","志愿/合格",IF(O25&lt;&gt;"","受验/合格",""))</x:f>
        <x:v>志愿/合格</x:v>
      </x:c>
      <x:c r="T25" s="2" t="str">
        <x:v>官方</x:v>
      </x:c>
      <x:c r="U25" s="2" t="str">
        <x:v>高</x:v>
      </x:c>
      <x:c r="V25" s="27" t="str">
        <x:v>2022年度入学試験結果</x:v>
      </x:c>
      <x:c r="W25" s="27" t="str">
        <x:v>PDF 1頁「修士課程」該当専攻行</x:v>
      </x:c>
      <x:c r="X25" s="27" t="str">
        <x:v>https://www.t.u-tokyo.ac.jp/hubfs/graduate/2022/0407/001/2022_kekka_J.pdf</x:v>
      </x:c>
      <x:c r="Y25" s="27" t="str">
        <x:v>専攻単位。括弧内の外国人等内数は合計に含まれる。</x:v>
      </x:c>
      <x:c r="Z25" s="47" t="str">
        <x:v>受験者数・入学者数は表に掲載なし。</x:v>
      </x:c>
    </x:row>
    <x:row r="26" ht="38" customHeight="1">
      <x:c r="A26" s="2" t="str">
        <x:v>東京大学</x:v>
      </x:c>
      <x:c r="B26" s="2" t="str">
        <x:v>工学系研究科</x:v>
      </x:c>
      <x:c r="C26" s="2" t="str">
        <x:v>物理工学専攻</x:v>
      </x:c>
      <x:c r="D26" s="44" t="n">
        <x:v>2023</x:v>
      </x:c>
      <x:c r="E26" s="27" t="str">
        <x:v>全年合计（前年10月・当年4月入学）</x:v>
      </x:c>
      <x:c r="F26" s="27" t="str">
        <x:v>修士課程</x:v>
      </x:c>
      <x:c r="G26" s="27" t="str">
        <x:v>全类别合计（外国人等特別選考を含む）</x:v>
      </x:c>
      <x:c r="H26" s="27" t="str">
        <x:v>专攻/系</x:v>
      </x:c>
      <x:c r="I26" s="44" t="n">
        <x:v>42</x:v>
      </x:c>
      <x:c r="J26" s="44" t="n">
        <x:v>68</x:v>
      </x:c>
      <x:c r="K26" s="44"/>
      <x:c r="L26" s="44" t="n">
        <x:v>56</x:v>
      </x:c>
      <x:c r="M26" s="44"/>
      <x:c r="N26" s="45" t="n">
        <x:f>IF(AND(J26&lt;&gt;"",L26&lt;&gt;0),J26/L26,"")</x:f>
        <x:v>1.2142857142857142</x:v>
      </x:c>
      <x:c r="O26" s="45" t="str">
        <x:f>IF(AND(K26&lt;&gt;"",L26&lt;&gt;0),K26/L26,"")</x:f>
      </x:c>
      <x:c r="P26" s="46" t="str">
        <x:f>IF(AND(K26&lt;&gt;"",K26&lt;&gt;0,L26&lt;&gt;""),L26/K26,"")</x:f>
      </x:c>
      <x:c r="Q26" s="46" t="str">
        <x:f>IF(AND(L26&lt;&gt;"",L26&lt;&gt;0,M26&lt;&gt;""),M26/L26,"")</x:f>
      </x:c>
      <x:c r="R26" s="45" t="n">
        <x:f>IF(N26&lt;&gt;"",N26,IF(O26&lt;&gt;"",O26,""))</x:f>
        <x:v>1.2142857142857142</x:v>
      </x:c>
      <x:c r="S26" s="2" t="str">
        <x:f>IF(N26&lt;&gt;"","志愿/合格",IF(O26&lt;&gt;"","受验/合格",""))</x:f>
        <x:v>志愿/合格</x:v>
      </x:c>
      <x:c r="T26" s="2" t="str">
        <x:v>官方</x:v>
      </x:c>
      <x:c r="U26" s="2" t="str">
        <x:v>高</x:v>
      </x:c>
      <x:c r="V26" s="27" t="str">
        <x:v>2023年度入学試験結果</x:v>
      </x:c>
      <x:c r="W26" s="27" t="str">
        <x:v>PDF 1頁「修士課程」該当専攻行</x:v>
      </x:c>
      <x:c r="X26" s="27" t="str">
        <x:v>https://www.t.u-tokyo.ac.jp/hubfs/2023_kekka_J.pdf</x:v>
      </x:c>
      <x:c r="Y26" s="27" t="str">
        <x:v>専攻単位。括弧内の外国人等内数は合計に含まれる。</x:v>
      </x:c>
      <x:c r="Z26" s="47" t="str">
        <x:v>受験者数・入学者数は表に掲載なし。</x:v>
      </x:c>
    </x:row>
    <x:row r="27" ht="38" customHeight="1">
      <x:c r="A27" s="2" t="str">
        <x:v>東京大学</x:v>
      </x:c>
      <x:c r="B27" s="2" t="str">
        <x:v>工学系研究科</x:v>
      </x:c>
      <x:c r="C27" s="2" t="str">
        <x:v>物理工学専攻</x:v>
      </x:c>
      <x:c r="D27" s="44" t="n">
        <x:v>2024</x:v>
      </x:c>
      <x:c r="E27" s="27" t="str">
        <x:v>全年合计（前年10月・当年4月入学）</x:v>
      </x:c>
      <x:c r="F27" s="27" t="str">
        <x:v>修士課程</x:v>
      </x:c>
      <x:c r="G27" s="27" t="str">
        <x:v>全类别合计（外国人等特別選考を含む）</x:v>
      </x:c>
      <x:c r="H27" s="27" t="str">
        <x:v>专攻/系</x:v>
      </x:c>
      <x:c r="I27" s="44" t="n">
        <x:v>42</x:v>
      </x:c>
      <x:c r="J27" s="44" t="n">
        <x:v>97</x:v>
      </x:c>
      <x:c r="K27" s="44"/>
      <x:c r="L27" s="44" t="n">
        <x:v>72</x:v>
      </x:c>
      <x:c r="M27" s="44"/>
      <x:c r="N27" s="45" t="n">
        <x:f>IF(AND(J27&lt;&gt;"",L27&lt;&gt;0),J27/L27,"")</x:f>
        <x:v>1.3472222222222223</x:v>
      </x:c>
      <x:c r="O27" s="45" t="str">
        <x:f>IF(AND(K27&lt;&gt;"",L27&lt;&gt;0),K27/L27,"")</x:f>
      </x:c>
      <x:c r="P27" s="46" t="str">
        <x:f>IF(AND(K27&lt;&gt;"",K27&lt;&gt;0,L27&lt;&gt;""),L27/K27,"")</x:f>
      </x:c>
      <x:c r="Q27" s="46" t="str">
        <x:f>IF(AND(L27&lt;&gt;"",L27&lt;&gt;0,M27&lt;&gt;""),M27/L27,"")</x:f>
      </x:c>
      <x:c r="R27" s="45" t="n">
        <x:f>IF(N27&lt;&gt;"",N27,IF(O27&lt;&gt;"",O27,""))</x:f>
        <x:v>1.3472222222222223</x:v>
      </x:c>
      <x:c r="S27" s="2" t="str">
        <x:f>IF(N27&lt;&gt;"","志愿/合格",IF(O27&lt;&gt;"","受验/合格",""))</x:f>
        <x:v>志愿/合格</x:v>
      </x:c>
      <x:c r="T27" s="2" t="str">
        <x:v>官方</x:v>
      </x:c>
      <x:c r="U27" s="2" t="str">
        <x:v>高</x:v>
      </x:c>
      <x:c r="V27" s="27" t="str">
        <x:v>2024年度入学試験結果</x:v>
      </x:c>
      <x:c r="W27" s="27" t="str">
        <x:v>PDF 1頁「修士課程」該当専攻行</x:v>
      </x:c>
      <x:c r="X27" s="27" t="str">
        <x:v>https://www.t.u-tokyo.ac.jp/hubfs/2024_kekka_J.pdf</x:v>
      </x:c>
      <x:c r="Y27" s="27" t="str">
        <x:v>専攻単位。括弧内の外国人等内数は合計に含まれる。</x:v>
      </x:c>
      <x:c r="Z27" s="47" t="str">
        <x:v>受験者数・入学者数は表に掲載なし。</x:v>
      </x:c>
    </x:row>
    <x:row r="28" ht="38" customHeight="1">
      <x:c r="A28" s="2" t="str">
        <x:v>東京大学</x:v>
      </x:c>
      <x:c r="B28" s="2" t="str">
        <x:v>工学系研究科</x:v>
      </x:c>
      <x:c r="C28" s="2" t="str">
        <x:v>物理工学専攻</x:v>
      </x:c>
      <x:c r="D28" s="44" t="n">
        <x:v>2025</x:v>
      </x:c>
      <x:c r="E28" s="27" t="str">
        <x:v>全年合计（前年10月・当年4月入学）</x:v>
      </x:c>
      <x:c r="F28" s="27" t="str">
        <x:v>修士課程</x:v>
      </x:c>
      <x:c r="G28" s="27" t="str">
        <x:v>全类别合计（外国人等特別選考を含む）</x:v>
      </x:c>
      <x:c r="H28" s="27" t="str">
        <x:v>专攻/系</x:v>
      </x:c>
      <x:c r="I28" s="44" t="n">
        <x:v>42</x:v>
      </x:c>
      <x:c r="J28" s="44" t="n">
        <x:v>102</x:v>
      </x:c>
      <x:c r="K28" s="44"/>
      <x:c r="L28" s="44" t="n">
        <x:v>72</x:v>
      </x:c>
      <x:c r="M28" s="44"/>
      <x:c r="N28" s="45" t="n">
        <x:f>IF(AND(J28&lt;&gt;"",L28&lt;&gt;0),J28/L28,"")</x:f>
        <x:v>1.4166666666666667</x:v>
      </x:c>
      <x:c r="O28" s="45" t="str">
        <x:f>IF(AND(K28&lt;&gt;"",L28&lt;&gt;0),K28/L28,"")</x:f>
      </x:c>
      <x:c r="P28" s="46" t="str">
        <x:f>IF(AND(K28&lt;&gt;"",K28&lt;&gt;0,L28&lt;&gt;""),L28/K28,"")</x:f>
      </x:c>
      <x:c r="Q28" s="46" t="str">
        <x:f>IF(AND(L28&lt;&gt;"",L28&lt;&gt;0,M28&lt;&gt;""),M28/L28,"")</x:f>
      </x:c>
      <x:c r="R28" s="45" t="n">
        <x:f>IF(N28&lt;&gt;"",N28,IF(O28&lt;&gt;"",O28,""))</x:f>
        <x:v>1.4166666666666667</x:v>
      </x:c>
      <x:c r="S28" s="2" t="str">
        <x:f>IF(N28&lt;&gt;"","志愿/合格",IF(O28&lt;&gt;"","受验/合格",""))</x:f>
        <x:v>志愿/合格</x:v>
      </x:c>
      <x:c r="T28" s="2" t="str">
        <x:v>官方</x:v>
      </x:c>
      <x:c r="U28" s="2" t="str">
        <x:v>高</x:v>
      </x:c>
      <x:c r="V28" s="27" t="str">
        <x:v>2025年度入学試験結果</x:v>
      </x:c>
      <x:c r="W28" s="27" t="str">
        <x:v>PDF 1頁「修士課程」該当専攻行</x:v>
      </x:c>
      <x:c r="X28" s="27" t="str">
        <x:v>https://www.t.u-tokyo.ac.jp/hubfs/graduate/2025/2025_kekka_J.pdf</x:v>
      </x:c>
      <x:c r="Y28" s="27" t="str">
        <x:v>専攻単位。括弧内の外国人等内数は合計に含まれる。</x:v>
      </x:c>
      <x:c r="Z28" s="47" t="str">
        <x:v>受験者数・入学者数は表に掲載なし。</x:v>
      </x:c>
    </x:row>
    <x:row r="29" ht="38" customHeight="1">
      <x:c r="A29" s="2" t="str">
        <x:v>東京大学</x:v>
      </x:c>
      <x:c r="B29" s="2" t="str">
        <x:v>工学系研究科</x:v>
      </x:c>
      <x:c r="C29" s="2" t="str">
        <x:v>物理工学専攻</x:v>
      </x:c>
      <x:c r="D29" s="44" t="n">
        <x:v>2026</x:v>
      </x:c>
      <x:c r="E29" s="27" t="str">
        <x:v>全年合计（前年10月・当年4月入学）</x:v>
      </x:c>
      <x:c r="F29" s="27" t="str">
        <x:v>修士課程</x:v>
      </x:c>
      <x:c r="G29" s="27" t="str">
        <x:v>全类别合计（外国人等特別選考を含む）</x:v>
      </x:c>
      <x:c r="H29" s="27" t="str">
        <x:v>专攻/系</x:v>
      </x:c>
      <x:c r="I29" s="44" t="n">
        <x:v>42</x:v>
      </x:c>
      <x:c r="J29" s="44" t="n">
        <x:v>113</x:v>
      </x:c>
      <x:c r="K29" s="44"/>
      <x:c r="L29" s="44" t="n">
        <x:v>72</x:v>
      </x:c>
      <x:c r="M29" s="44"/>
      <x:c r="N29" s="45" t="n">
        <x:f>IF(AND(J29&lt;&gt;"",L29&lt;&gt;0),J29/L29,"")</x:f>
        <x:v>1.5694444444444444</x:v>
      </x:c>
      <x:c r="O29" s="45" t="str">
        <x:f>IF(AND(K29&lt;&gt;"",L29&lt;&gt;0),K29/L29,"")</x:f>
      </x:c>
      <x:c r="P29" s="46" t="str">
        <x:f>IF(AND(K29&lt;&gt;"",K29&lt;&gt;0,L29&lt;&gt;""),L29/K29,"")</x:f>
      </x:c>
      <x:c r="Q29" s="46" t="str">
        <x:f>IF(AND(L29&lt;&gt;"",L29&lt;&gt;0,M29&lt;&gt;""),M29/L29,"")</x:f>
      </x:c>
      <x:c r="R29" s="45" t="n">
        <x:f>IF(N29&lt;&gt;"",N29,IF(O29&lt;&gt;"",O29,""))</x:f>
        <x:v>1.5694444444444444</x:v>
      </x:c>
      <x:c r="S29" s="2" t="str">
        <x:f>IF(N29&lt;&gt;"","志愿/合格",IF(O29&lt;&gt;"","受验/合格",""))</x:f>
        <x:v>志愿/合格</x:v>
      </x:c>
      <x:c r="T29" s="2" t="str">
        <x:v>官方</x:v>
      </x:c>
      <x:c r="U29" s="2" t="str">
        <x:v>高</x:v>
      </x:c>
      <x:c r="V29" s="27" t="str">
        <x:v>2026年度入学試験結果</x:v>
      </x:c>
      <x:c r="W29" s="27" t="str">
        <x:v>PDF 1頁「修士課程」該当専攻行</x:v>
      </x:c>
      <x:c r="X29" s="27" t="str">
        <x:v>https://www.t.u-tokyo.ac.jp/hubfs/admission/2026/2026_kekka_J.pdf</x:v>
      </x:c>
      <x:c r="Y29" s="27" t="str">
        <x:v>専攻単位。括弧内の外国人等内数は合計に含まれる。</x:v>
      </x:c>
      <x:c r="Z29" s="47" t="str">
        <x:v>受験者数・入学者数は表に掲載なし。</x:v>
      </x:c>
    </x:row>
    <x:row r="30" ht="38" customHeight="1">
      <x:c r="A30" s="2" t="str">
        <x:v>東京大学</x:v>
      </x:c>
      <x:c r="B30" s="2" t="str">
        <x:v>情報理工学系研究科</x:v>
      </x:c>
      <x:c r="C30" s="2" t="str">
        <x:v>コンピュータ科学専攻</x:v>
      </x:c>
      <x:c r="D30" s="44" t="n">
        <x:v>2022</x:v>
      </x:c>
      <x:c r="E30" s="27" t="str">
        <x:v>全年合计（10月及次年4月入学）</x:v>
      </x:c>
      <x:c r="F30" s="27" t="str">
        <x:v>修士課程</x:v>
      </x:c>
      <x:c r="G30" s="27" t="str">
        <x:v>全类别合计</x:v>
      </x:c>
      <x:c r="H30" s="27" t="str">
        <x:v>专攻/系</x:v>
      </x:c>
      <x:c r="I30" s="44" t="n">
        <x:v>42</x:v>
      </x:c>
      <x:c r="J30" s="44" t="n">
        <x:v>122</x:v>
      </x:c>
      <x:c r="K30" s="44"/>
      <x:c r="L30" s="44" t="n">
        <x:v>49</x:v>
      </x:c>
      <x:c r="M30" s="44" t="n">
        <x:v>47</x:v>
      </x:c>
      <x:c r="N30" s="45" t="n">
        <x:f>IF(AND(J30&lt;&gt;"",L30&lt;&gt;0),J30/L30,"")</x:f>
        <x:v>2.489795918367347</x:v>
      </x:c>
      <x:c r="O30" s="45" t="str">
        <x:f>IF(AND(K30&lt;&gt;"",L30&lt;&gt;0),K30/L30,"")</x:f>
      </x:c>
      <x:c r="P30" s="46" t="str">
        <x:f>IF(AND(K30&lt;&gt;"",K30&lt;&gt;0,L30&lt;&gt;""),L30/K30,"")</x:f>
      </x:c>
      <x:c r="Q30" s="46" t="n">
        <x:f>IF(AND(L30&lt;&gt;"",L30&lt;&gt;0,M30&lt;&gt;""),M30/L30,"")</x:f>
        <x:v>0.9591836734693877</x:v>
      </x:c>
      <x:c r="R30" s="45" t="n">
        <x:f>IF(N30&lt;&gt;"",N30,IF(O30&lt;&gt;"",O30,""))</x:f>
        <x:v>2.489795918367347</x:v>
      </x:c>
      <x:c r="S30" s="2" t="str">
        <x:f>IF(N30&lt;&gt;"","志愿/合格",IF(O30&lt;&gt;"","受验/合格",""))</x:f>
        <x:v>志愿/合格</x:v>
      </x:c>
      <x:c r="T30" s="2" t="str">
        <x:v>官方</x:v>
      </x:c>
      <x:c r="U30" s="2" t="str">
        <x:v>高</x:v>
      </x:c>
      <x:c r="V30" s="27" t="str">
        <x:v>情報理工学系研究科 志願者・合格者・入学者数</x:v>
      </x:c>
      <x:c r="W30" s="27" t="str">
        <x:v>PDF 1頁「修士課程」各専攻行、2022～2026年度列</x:v>
      </x:c>
      <x:c r="X30" s="27" t="str">
        <x:v>https://www.i.u-tokyo.ac.jp/edu/entra/ay2026data_j.pdf</x:v>
      </x:c>
      <x:c r="Y30" s="27" t="str">
        <x:v>専攻単位。各年度は前年10月入学者と当年4月入学者の合計。</x:v>
      </x:c>
      <x:c r="Z30" s="47" t="str">
        <x:v>受験者数は表に掲載なし。</x:v>
      </x:c>
    </x:row>
    <x:row r="31" ht="38" customHeight="1">
      <x:c r="A31" s="2" t="str">
        <x:v>東京大学</x:v>
      </x:c>
      <x:c r="B31" s="2" t="str">
        <x:v>情報理工学系研究科</x:v>
      </x:c>
      <x:c r="C31" s="2" t="str">
        <x:v>コンピュータ科学専攻</x:v>
      </x:c>
      <x:c r="D31" s="44" t="n">
        <x:v>2023</x:v>
      </x:c>
      <x:c r="E31" s="27" t="str">
        <x:v>全年合计（10月及次年4月入学）</x:v>
      </x:c>
      <x:c r="F31" s="27" t="str">
        <x:v>修士課程</x:v>
      </x:c>
      <x:c r="G31" s="27" t="str">
        <x:v>全类别合计</x:v>
      </x:c>
      <x:c r="H31" s="27" t="str">
        <x:v>专攻/系</x:v>
      </x:c>
      <x:c r="I31" s="44" t="n">
        <x:v>42</x:v>
      </x:c>
      <x:c r="J31" s="44" t="n">
        <x:v>96</x:v>
      </x:c>
      <x:c r="K31" s="44"/>
      <x:c r="L31" s="44" t="n">
        <x:v>39</x:v>
      </x:c>
      <x:c r="M31" s="44" t="n">
        <x:v>39</x:v>
      </x:c>
      <x:c r="N31" s="45" t="n">
        <x:f>IF(AND(J31&lt;&gt;"",L31&lt;&gt;0),J31/L31,"")</x:f>
        <x:v>2.4615384615384617</x:v>
      </x:c>
      <x:c r="O31" s="45" t="str">
        <x:f>IF(AND(K31&lt;&gt;"",L31&lt;&gt;0),K31/L31,"")</x:f>
      </x:c>
      <x:c r="P31" s="46" t="str">
        <x:f>IF(AND(K31&lt;&gt;"",K31&lt;&gt;0,L31&lt;&gt;""),L31/K31,"")</x:f>
      </x:c>
      <x:c r="Q31" s="46" t="n">
        <x:f>IF(AND(L31&lt;&gt;"",L31&lt;&gt;0,M31&lt;&gt;""),M31/L31,"")</x:f>
        <x:v>1</x:v>
      </x:c>
      <x:c r="R31" s="45" t="n">
        <x:f>IF(N31&lt;&gt;"",N31,IF(O31&lt;&gt;"",O31,""))</x:f>
        <x:v>2.4615384615384617</x:v>
      </x:c>
      <x:c r="S31" s="2" t="str">
        <x:f>IF(N31&lt;&gt;"","志愿/合格",IF(O31&lt;&gt;"","受验/合格",""))</x:f>
        <x:v>志愿/合格</x:v>
      </x:c>
      <x:c r="T31" s="2" t="str">
        <x:v>官方</x:v>
      </x:c>
      <x:c r="U31" s="2" t="str">
        <x:v>高</x:v>
      </x:c>
      <x:c r="V31" s="27" t="str">
        <x:v>情報理工学系研究科 志願者・合格者・入学者数</x:v>
      </x:c>
      <x:c r="W31" s="27" t="str">
        <x:v>PDF 1頁「修士課程」各専攻行、2022～2026年度列</x:v>
      </x:c>
      <x:c r="X31" s="27" t="str">
        <x:v>https://www.i.u-tokyo.ac.jp/edu/entra/ay2026data_j.pdf</x:v>
      </x:c>
      <x:c r="Y31" s="27" t="str">
        <x:v>専攻単位。各年度は前年10月入学者と当年4月入学者の合計。</x:v>
      </x:c>
      <x:c r="Z31" s="47" t="str">
        <x:v>受験者数は表に掲載なし。</x:v>
      </x:c>
    </x:row>
    <x:row r="32" ht="38" customHeight="1">
      <x:c r="A32" s="2" t="str">
        <x:v>東京大学</x:v>
      </x:c>
      <x:c r="B32" s="2" t="str">
        <x:v>情報理工学系研究科</x:v>
      </x:c>
      <x:c r="C32" s="2" t="str">
        <x:v>コンピュータ科学専攻</x:v>
      </x:c>
      <x:c r="D32" s="44" t="n">
        <x:v>2024</x:v>
      </x:c>
      <x:c r="E32" s="27" t="str">
        <x:v>全年合计（10月及次年4月入学）</x:v>
      </x:c>
      <x:c r="F32" s="27" t="str">
        <x:v>修士課程</x:v>
      </x:c>
      <x:c r="G32" s="27" t="str">
        <x:v>全类别合计</x:v>
      </x:c>
      <x:c r="H32" s="27" t="str">
        <x:v>专攻/系</x:v>
      </x:c>
      <x:c r="I32" s="44" t="n">
        <x:v>42</x:v>
      </x:c>
      <x:c r="J32" s="44" t="n">
        <x:v>79</x:v>
      </x:c>
      <x:c r="K32" s="44"/>
      <x:c r="L32" s="44" t="n">
        <x:v>42</x:v>
      </x:c>
      <x:c r="M32" s="44" t="n">
        <x:v>40</x:v>
      </x:c>
      <x:c r="N32" s="45" t="n">
        <x:f>IF(AND(J32&lt;&gt;"",L32&lt;&gt;0),J32/L32,"")</x:f>
        <x:v>1.880952380952381</x:v>
      </x:c>
      <x:c r="O32" s="45" t="str">
        <x:f>IF(AND(K32&lt;&gt;"",L32&lt;&gt;0),K32/L32,"")</x:f>
      </x:c>
      <x:c r="P32" s="46" t="str">
        <x:f>IF(AND(K32&lt;&gt;"",K32&lt;&gt;0,L32&lt;&gt;""),L32/K32,"")</x:f>
      </x:c>
      <x:c r="Q32" s="46" t="n">
        <x:f>IF(AND(L32&lt;&gt;"",L32&lt;&gt;0,M32&lt;&gt;""),M32/L32,"")</x:f>
        <x:v>0.9523809523809523</x:v>
      </x:c>
      <x:c r="R32" s="45" t="n">
        <x:f>IF(N32&lt;&gt;"",N32,IF(O32&lt;&gt;"",O32,""))</x:f>
        <x:v>1.880952380952381</x:v>
      </x:c>
      <x:c r="S32" s="2" t="str">
        <x:f>IF(N32&lt;&gt;"","志愿/合格",IF(O32&lt;&gt;"","受验/合格",""))</x:f>
        <x:v>志愿/合格</x:v>
      </x:c>
      <x:c r="T32" s="2" t="str">
        <x:v>官方</x:v>
      </x:c>
      <x:c r="U32" s="2" t="str">
        <x:v>高</x:v>
      </x:c>
      <x:c r="V32" s="27" t="str">
        <x:v>情報理工学系研究科 志願者・合格者・入学者数</x:v>
      </x:c>
      <x:c r="W32" s="27" t="str">
        <x:v>PDF 1頁「修士課程」各専攻行、2022～2026年度列</x:v>
      </x:c>
      <x:c r="X32" s="27" t="str">
        <x:v>https://www.i.u-tokyo.ac.jp/edu/entra/ay2026data_j.pdf</x:v>
      </x:c>
      <x:c r="Y32" s="27" t="str">
        <x:v>専攻単位。各年度は前年10月入学者と当年4月入学者の合計。</x:v>
      </x:c>
      <x:c r="Z32" s="47" t="str">
        <x:v>受験者数は表に掲載なし。</x:v>
      </x:c>
    </x:row>
    <x:row r="33" ht="38" customHeight="1">
      <x:c r="A33" s="2" t="str">
        <x:v>東京大学</x:v>
      </x:c>
      <x:c r="B33" s="2" t="str">
        <x:v>情報理工学系研究科</x:v>
      </x:c>
      <x:c r="C33" s="2" t="str">
        <x:v>コンピュータ科学専攻</x:v>
      </x:c>
      <x:c r="D33" s="44" t="n">
        <x:v>2025</x:v>
      </x:c>
      <x:c r="E33" s="27" t="str">
        <x:v>全年合计（10月及次年4月入学）</x:v>
      </x:c>
      <x:c r="F33" s="27" t="str">
        <x:v>修士課程</x:v>
      </x:c>
      <x:c r="G33" s="27" t="str">
        <x:v>全类别合计</x:v>
      </x:c>
      <x:c r="H33" s="27" t="str">
        <x:v>专攻/系</x:v>
      </x:c>
      <x:c r="I33" s="44" t="n">
        <x:v>44</x:v>
      </x:c>
      <x:c r="J33" s="44" t="n">
        <x:v>110</x:v>
      </x:c>
      <x:c r="K33" s="44"/>
      <x:c r="L33" s="44" t="n">
        <x:v>47</x:v>
      </x:c>
      <x:c r="M33" s="44" t="n">
        <x:v>44</x:v>
      </x:c>
      <x:c r="N33" s="45" t="n">
        <x:f>IF(AND(J33&lt;&gt;"",L33&lt;&gt;0),J33/L33,"")</x:f>
        <x:v>2.3404255319148937</x:v>
      </x:c>
      <x:c r="O33" s="45" t="str">
        <x:f>IF(AND(K33&lt;&gt;"",L33&lt;&gt;0),K33/L33,"")</x:f>
      </x:c>
      <x:c r="P33" s="46" t="str">
        <x:f>IF(AND(K33&lt;&gt;"",K33&lt;&gt;0,L33&lt;&gt;""),L33/K33,"")</x:f>
      </x:c>
      <x:c r="Q33" s="46" t="n">
        <x:f>IF(AND(L33&lt;&gt;"",L33&lt;&gt;0,M33&lt;&gt;""),M33/L33,"")</x:f>
        <x:v>0.9361702127659575</x:v>
      </x:c>
      <x:c r="R33" s="45" t="n">
        <x:f>IF(N33&lt;&gt;"",N33,IF(O33&lt;&gt;"",O33,""))</x:f>
        <x:v>2.3404255319148937</x:v>
      </x:c>
      <x:c r="S33" s="2" t="str">
        <x:f>IF(N33&lt;&gt;"","志愿/合格",IF(O33&lt;&gt;"","受验/合格",""))</x:f>
        <x:v>志愿/合格</x:v>
      </x:c>
      <x:c r="T33" s="2" t="str">
        <x:v>官方</x:v>
      </x:c>
      <x:c r="U33" s="2" t="str">
        <x:v>高</x:v>
      </x:c>
      <x:c r="V33" s="27" t="str">
        <x:v>情報理工学系研究科 志願者・合格者・入学者数</x:v>
      </x:c>
      <x:c r="W33" s="27" t="str">
        <x:v>PDF 1頁「修士課程」各専攻行、2022～2026年度列</x:v>
      </x:c>
      <x:c r="X33" s="27" t="str">
        <x:v>https://www.i.u-tokyo.ac.jp/edu/entra/ay2026data_j.pdf</x:v>
      </x:c>
      <x:c r="Y33" s="27" t="str">
        <x:v>専攻単位。各年度は前年10月入学者と当年4月入学者の合計。</x:v>
      </x:c>
      <x:c r="Z33" s="47" t="str">
        <x:v>受験者数は表に掲載なし。</x:v>
      </x:c>
    </x:row>
    <x:row r="34" ht="38" customHeight="1">
      <x:c r="A34" s="2" t="str">
        <x:v>東京大学</x:v>
      </x:c>
      <x:c r="B34" s="2" t="str">
        <x:v>情報理工学系研究科</x:v>
      </x:c>
      <x:c r="C34" s="2" t="str">
        <x:v>コンピュータ科学専攻</x:v>
      </x:c>
      <x:c r="D34" s="44" t="n">
        <x:v>2026</x:v>
      </x:c>
      <x:c r="E34" s="27" t="str">
        <x:v>全年合计（10月及次年4月入学）</x:v>
      </x:c>
      <x:c r="F34" s="27" t="str">
        <x:v>修士課程</x:v>
      </x:c>
      <x:c r="G34" s="27" t="str">
        <x:v>全类别合计</x:v>
      </x:c>
      <x:c r="H34" s="27" t="str">
        <x:v>专攻/系</x:v>
      </x:c>
      <x:c r="I34" s="44" t="n">
        <x:v>44</x:v>
      </x:c>
      <x:c r="J34" s="44" t="n">
        <x:v>91</x:v>
      </x:c>
      <x:c r="K34" s="44"/>
      <x:c r="L34" s="44" t="n">
        <x:v>45</x:v>
      </x:c>
      <x:c r="M34" s="44" t="n">
        <x:v>44</x:v>
      </x:c>
      <x:c r="N34" s="45" t="n">
        <x:f>IF(AND(J34&lt;&gt;"",L34&lt;&gt;0),J34/L34,"")</x:f>
        <x:v>2.022222222222222</x:v>
      </x:c>
      <x:c r="O34" s="45" t="str">
        <x:f>IF(AND(K34&lt;&gt;"",L34&lt;&gt;0),K34/L34,"")</x:f>
      </x:c>
      <x:c r="P34" s="46" t="str">
        <x:f>IF(AND(K34&lt;&gt;"",K34&lt;&gt;0,L34&lt;&gt;""),L34/K34,"")</x:f>
      </x:c>
      <x:c r="Q34" s="46" t="n">
        <x:f>IF(AND(L34&lt;&gt;"",L34&lt;&gt;0,M34&lt;&gt;""),M34/L34,"")</x:f>
        <x:v>0.9777777777777777</x:v>
      </x:c>
      <x:c r="R34" s="45" t="n">
        <x:f>IF(N34&lt;&gt;"",N34,IF(O34&lt;&gt;"",O34,""))</x:f>
        <x:v>2.022222222222222</x:v>
      </x:c>
      <x:c r="S34" s="2" t="str">
        <x:f>IF(N34&lt;&gt;"","志愿/合格",IF(O34&lt;&gt;"","受验/合格",""))</x:f>
        <x:v>志愿/合格</x:v>
      </x:c>
      <x:c r="T34" s="2" t="str">
        <x:v>官方</x:v>
      </x:c>
      <x:c r="U34" s="2" t="str">
        <x:v>高</x:v>
      </x:c>
      <x:c r="V34" s="27" t="str">
        <x:v>情報理工学系研究科 志願者・合格者・入学者数</x:v>
      </x:c>
      <x:c r="W34" s="27" t="str">
        <x:v>PDF 1頁「修士課程」各専攻行、2022～2026年度列</x:v>
      </x:c>
      <x:c r="X34" s="27" t="str">
        <x:v>https://www.i.u-tokyo.ac.jp/edu/entra/ay2026data_j.pdf</x:v>
      </x:c>
      <x:c r="Y34" s="27" t="str">
        <x:v>専攻単位。各年度は前年10月入学者と当年4月入学者の合計。</x:v>
      </x:c>
      <x:c r="Z34" s="47" t="str">
        <x:v>受験者数は表に掲載なし。</x:v>
      </x:c>
    </x:row>
    <x:row r="35" ht="38" customHeight="1">
      <x:c r="A35" s="2" t="str">
        <x:v>東京大学</x:v>
      </x:c>
      <x:c r="B35" s="2" t="str">
        <x:v>情報理工学系研究科</x:v>
      </x:c>
      <x:c r="C35" s="2" t="str">
        <x:v>数理情報学専攻</x:v>
      </x:c>
      <x:c r="D35" s="44" t="n">
        <x:v>2022</x:v>
      </x:c>
      <x:c r="E35" s="27" t="str">
        <x:v>全年合计（10月及次年4月入学）</x:v>
      </x:c>
      <x:c r="F35" s="27" t="str">
        <x:v>修士課程</x:v>
      </x:c>
      <x:c r="G35" s="27" t="str">
        <x:v>全类别合计</x:v>
      </x:c>
      <x:c r="H35" s="27" t="str">
        <x:v>专攻/系</x:v>
      </x:c>
      <x:c r="I35" s="44" t="n">
        <x:v>32</x:v>
      </x:c>
      <x:c r="J35" s="44" t="n">
        <x:v>75</x:v>
      </x:c>
      <x:c r="K35" s="44"/>
      <x:c r="L35" s="44" t="n">
        <x:v>38</x:v>
      </x:c>
      <x:c r="M35" s="44" t="n">
        <x:v>31</x:v>
      </x:c>
      <x:c r="N35" s="45" t="n">
        <x:f>IF(AND(J35&lt;&gt;"",L35&lt;&gt;0),J35/L35,"")</x:f>
        <x:v>1.9736842105263157</x:v>
      </x:c>
      <x:c r="O35" s="45" t="str">
        <x:f>IF(AND(K35&lt;&gt;"",L35&lt;&gt;0),K35/L35,"")</x:f>
      </x:c>
      <x:c r="P35" s="46" t="str">
        <x:f>IF(AND(K35&lt;&gt;"",K35&lt;&gt;0,L35&lt;&gt;""),L35/K35,"")</x:f>
      </x:c>
      <x:c r="Q35" s="46" t="n">
        <x:f>IF(AND(L35&lt;&gt;"",L35&lt;&gt;0,M35&lt;&gt;""),M35/L35,"")</x:f>
        <x:v>0.8157894736842105</x:v>
      </x:c>
      <x:c r="R35" s="45" t="n">
        <x:f>IF(N35&lt;&gt;"",N35,IF(O35&lt;&gt;"",O35,""))</x:f>
        <x:v>1.9736842105263157</x:v>
      </x:c>
      <x:c r="S35" s="2" t="str">
        <x:f>IF(N35&lt;&gt;"","志愿/合格",IF(O35&lt;&gt;"","受验/合格",""))</x:f>
        <x:v>志愿/合格</x:v>
      </x:c>
      <x:c r="T35" s="2" t="str">
        <x:v>官方</x:v>
      </x:c>
      <x:c r="U35" s="2" t="str">
        <x:v>高</x:v>
      </x:c>
      <x:c r="V35" s="27" t="str">
        <x:v>情報理工学系研究科 志願者・合格者・入学者数</x:v>
      </x:c>
      <x:c r="W35" s="27" t="str">
        <x:v>PDF 1頁「修士課程」各専攻行、2022～2026年度列</x:v>
      </x:c>
      <x:c r="X35" s="27" t="str">
        <x:v>https://www.i.u-tokyo.ac.jp/edu/entra/ay2026data_j.pdf</x:v>
      </x:c>
      <x:c r="Y35" s="27" t="str">
        <x:v>専攻単位。各年度は前年10月入学者と当年4月入学者の合計。</x:v>
      </x:c>
      <x:c r="Z35" s="47" t="str">
        <x:v>受験者数は表に掲載なし。</x:v>
      </x:c>
    </x:row>
    <x:row r="36" ht="38" customHeight="1">
      <x:c r="A36" s="2" t="str">
        <x:v>東京大学</x:v>
      </x:c>
      <x:c r="B36" s="2" t="str">
        <x:v>情報理工学系研究科</x:v>
      </x:c>
      <x:c r="C36" s="2" t="str">
        <x:v>数理情報学専攻</x:v>
      </x:c>
      <x:c r="D36" s="44" t="n">
        <x:v>2023</x:v>
      </x:c>
      <x:c r="E36" s="27" t="str">
        <x:v>全年合计（10月及次年4月入学）</x:v>
      </x:c>
      <x:c r="F36" s="27" t="str">
        <x:v>修士課程</x:v>
      </x:c>
      <x:c r="G36" s="27" t="str">
        <x:v>全类别合计</x:v>
      </x:c>
      <x:c r="H36" s="27" t="str">
        <x:v>专攻/系</x:v>
      </x:c>
      <x:c r="I36" s="44" t="n">
        <x:v>32</x:v>
      </x:c>
      <x:c r="J36" s="44" t="n">
        <x:v>61</x:v>
      </x:c>
      <x:c r="K36" s="44"/>
      <x:c r="L36" s="44" t="n">
        <x:v>39</x:v>
      </x:c>
      <x:c r="M36" s="44" t="n">
        <x:v>36</x:v>
      </x:c>
      <x:c r="N36" s="45" t="n">
        <x:f>IF(AND(J36&lt;&gt;"",L36&lt;&gt;0),J36/L36,"")</x:f>
        <x:v>1.564102564102564</x:v>
      </x:c>
      <x:c r="O36" s="45" t="str">
        <x:f>IF(AND(K36&lt;&gt;"",L36&lt;&gt;0),K36/L36,"")</x:f>
      </x:c>
      <x:c r="P36" s="46" t="str">
        <x:f>IF(AND(K36&lt;&gt;"",K36&lt;&gt;0,L36&lt;&gt;""),L36/K36,"")</x:f>
      </x:c>
      <x:c r="Q36" s="46" t="n">
        <x:f>IF(AND(L36&lt;&gt;"",L36&lt;&gt;0,M36&lt;&gt;""),M36/L36,"")</x:f>
        <x:v>0.9230769230769231</x:v>
      </x:c>
      <x:c r="R36" s="45" t="n">
        <x:f>IF(N36&lt;&gt;"",N36,IF(O36&lt;&gt;"",O36,""))</x:f>
        <x:v>1.564102564102564</x:v>
      </x:c>
      <x:c r="S36" s="2" t="str">
        <x:f>IF(N36&lt;&gt;"","志愿/合格",IF(O36&lt;&gt;"","受验/合格",""))</x:f>
        <x:v>志愿/合格</x:v>
      </x:c>
      <x:c r="T36" s="2" t="str">
        <x:v>官方</x:v>
      </x:c>
      <x:c r="U36" s="2" t="str">
        <x:v>高</x:v>
      </x:c>
      <x:c r="V36" s="27" t="str">
        <x:v>情報理工学系研究科 志願者・合格者・入学者数</x:v>
      </x:c>
      <x:c r="W36" s="27" t="str">
        <x:v>PDF 1頁「修士課程」各専攻行、2022～2026年度列</x:v>
      </x:c>
      <x:c r="X36" s="27" t="str">
        <x:v>https://www.i.u-tokyo.ac.jp/edu/entra/ay2026data_j.pdf</x:v>
      </x:c>
      <x:c r="Y36" s="27" t="str">
        <x:v>専攻単位。各年度は前年10月入学者と当年4月入学者の合計。</x:v>
      </x:c>
      <x:c r="Z36" s="47" t="str">
        <x:v>受験者数は表に掲載なし。</x:v>
      </x:c>
    </x:row>
    <x:row r="37" ht="38" customHeight="1">
      <x:c r="A37" s="2" t="str">
        <x:v>東京大学</x:v>
      </x:c>
      <x:c r="B37" s="2" t="str">
        <x:v>情報理工学系研究科</x:v>
      </x:c>
      <x:c r="C37" s="2" t="str">
        <x:v>数理情報学専攻</x:v>
      </x:c>
      <x:c r="D37" s="44" t="n">
        <x:v>2024</x:v>
      </x:c>
      <x:c r="E37" s="27" t="str">
        <x:v>全年合计（10月及次年4月入学）</x:v>
      </x:c>
      <x:c r="F37" s="27" t="str">
        <x:v>修士課程</x:v>
      </x:c>
      <x:c r="G37" s="27" t="str">
        <x:v>全类别合计</x:v>
      </x:c>
      <x:c r="H37" s="27" t="str">
        <x:v>专攻/系</x:v>
      </x:c>
      <x:c r="I37" s="44" t="n">
        <x:v>32</x:v>
      </x:c>
      <x:c r="J37" s="44" t="n">
        <x:v>50</x:v>
      </x:c>
      <x:c r="K37" s="44"/>
      <x:c r="L37" s="44" t="n">
        <x:v>37</x:v>
      </x:c>
      <x:c r="M37" s="44" t="n">
        <x:v>32</x:v>
      </x:c>
      <x:c r="N37" s="45" t="n">
        <x:f>IF(AND(J37&lt;&gt;"",L37&lt;&gt;0),J37/L37,"")</x:f>
        <x:v>1.3513513513513513</x:v>
      </x:c>
      <x:c r="O37" s="45" t="str">
        <x:f>IF(AND(K37&lt;&gt;"",L37&lt;&gt;0),K37/L37,"")</x:f>
      </x:c>
      <x:c r="P37" s="46" t="str">
        <x:f>IF(AND(K37&lt;&gt;"",K37&lt;&gt;0,L37&lt;&gt;""),L37/K37,"")</x:f>
      </x:c>
      <x:c r="Q37" s="46" t="n">
        <x:f>IF(AND(L37&lt;&gt;"",L37&lt;&gt;0,M37&lt;&gt;""),M37/L37,"")</x:f>
        <x:v>0.8648648648648649</x:v>
      </x:c>
      <x:c r="R37" s="45" t="n">
        <x:f>IF(N37&lt;&gt;"",N37,IF(O37&lt;&gt;"",O37,""))</x:f>
        <x:v>1.3513513513513513</x:v>
      </x:c>
      <x:c r="S37" s="2" t="str">
        <x:f>IF(N37&lt;&gt;"","志愿/合格",IF(O37&lt;&gt;"","受验/合格",""))</x:f>
        <x:v>志愿/合格</x:v>
      </x:c>
      <x:c r="T37" s="2" t="str">
        <x:v>官方</x:v>
      </x:c>
      <x:c r="U37" s="2" t="str">
        <x:v>高</x:v>
      </x:c>
      <x:c r="V37" s="27" t="str">
        <x:v>情報理工学系研究科 志願者・合格者・入学者数</x:v>
      </x:c>
      <x:c r="W37" s="27" t="str">
        <x:v>PDF 1頁「修士課程」各専攻行、2022～2026年度列</x:v>
      </x:c>
      <x:c r="X37" s="27" t="str">
        <x:v>https://www.i.u-tokyo.ac.jp/edu/entra/ay2026data_j.pdf</x:v>
      </x:c>
      <x:c r="Y37" s="27" t="str">
        <x:v>専攻単位。各年度は前年10月入学者と当年4月入学者の合計。</x:v>
      </x:c>
      <x:c r="Z37" s="47" t="str">
        <x:v>受験者数は表に掲載なし。</x:v>
      </x:c>
    </x:row>
    <x:row r="38" ht="38" customHeight="1">
      <x:c r="A38" s="2" t="str">
        <x:v>東京大学</x:v>
      </x:c>
      <x:c r="B38" s="2" t="str">
        <x:v>情報理工学系研究科</x:v>
      </x:c>
      <x:c r="C38" s="2" t="str">
        <x:v>数理情報学専攻</x:v>
      </x:c>
      <x:c r="D38" s="44" t="n">
        <x:v>2025</x:v>
      </x:c>
      <x:c r="E38" s="27" t="str">
        <x:v>全年合计（10月及次年4月入学）</x:v>
      </x:c>
      <x:c r="F38" s="27" t="str">
        <x:v>修士課程</x:v>
      </x:c>
      <x:c r="G38" s="27" t="str">
        <x:v>全类别合计</x:v>
      </x:c>
      <x:c r="H38" s="27" t="str">
        <x:v>专攻/系</x:v>
      </x:c>
      <x:c r="I38" s="44" t="n">
        <x:v>40</x:v>
      </x:c>
      <x:c r="J38" s="44" t="n">
        <x:v>74</x:v>
      </x:c>
      <x:c r="K38" s="44"/>
      <x:c r="L38" s="44" t="n">
        <x:v>44</x:v>
      </x:c>
      <x:c r="M38" s="44" t="n">
        <x:v>40</x:v>
      </x:c>
      <x:c r="N38" s="45" t="n">
        <x:f>IF(AND(J38&lt;&gt;"",L38&lt;&gt;0),J38/L38,"")</x:f>
        <x:v>1.6818181818181819</x:v>
      </x:c>
      <x:c r="O38" s="45" t="str">
        <x:f>IF(AND(K38&lt;&gt;"",L38&lt;&gt;0),K38/L38,"")</x:f>
      </x:c>
      <x:c r="P38" s="46" t="str">
        <x:f>IF(AND(K38&lt;&gt;"",K38&lt;&gt;0,L38&lt;&gt;""),L38/K38,"")</x:f>
      </x:c>
      <x:c r="Q38" s="46" t="n">
        <x:f>IF(AND(L38&lt;&gt;"",L38&lt;&gt;0,M38&lt;&gt;""),M38/L38,"")</x:f>
        <x:v>0.9090909090909091</x:v>
      </x:c>
      <x:c r="R38" s="45" t="n">
        <x:f>IF(N38&lt;&gt;"",N38,IF(O38&lt;&gt;"",O38,""))</x:f>
        <x:v>1.6818181818181819</x:v>
      </x:c>
      <x:c r="S38" s="2" t="str">
        <x:f>IF(N38&lt;&gt;"","志愿/合格",IF(O38&lt;&gt;"","受验/合格",""))</x:f>
        <x:v>志愿/合格</x:v>
      </x:c>
      <x:c r="T38" s="2" t="str">
        <x:v>官方</x:v>
      </x:c>
      <x:c r="U38" s="2" t="str">
        <x:v>高</x:v>
      </x:c>
      <x:c r="V38" s="27" t="str">
        <x:v>情報理工学系研究科 志願者・合格者・入学者数</x:v>
      </x:c>
      <x:c r="W38" s="27" t="str">
        <x:v>PDF 1頁「修士課程」各専攻行、2022～2026年度列</x:v>
      </x:c>
      <x:c r="X38" s="27" t="str">
        <x:v>https://www.i.u-tokyo.ac.jp/edu/entra/ay2026data_j.pdf</x:v>
      </x:c>
      <x:c r="Y38" s="27" t="str">
        <x:v>専攻単位。各年度は前年10月入学者と当年4月入学者の合計。</x:v>
      </x:c>
      <x:c r="Z38" s="47" t="str">
        <x:v>受験者数は表に掲載なし。</x:v>
      </x:c>
    </x:row>
    <x:row r="39" ht="38" customHeight="1">
      <x:c r="A39" s="2" t="str">
        <x:v>東京大学</x:v>
      </x:c>
      <x:c r="B39" s="2" t="str">
        <x:v>情報理工学系研究科</x:v>
      </x:c>
      <x:c r="C39" s="2" t="str">
        <x:v>数理情報学専攻</x:v>
      </x:c>
      <x:c r="D39" s="44" t="n">
        <x:v>2026</x:v>
      </x:c>
      <x:c r="E39" s="27" t="str">
        <x:v>全年合计（10月及次年4月入学）</x:v>
      </x:c>
      <x:c r="F39" s="27" t="str">
        <x:v>修士課程</x:v>
      </x:c>
      <x:c r="G39" s="27" t="str">
        <x:v>全类别合计</x:v>
      </x:c>
      <x:c r="H39" s="27" t="str">
        <x:v>专攻/系</x:v>
      </x:c>
      <x:c r="I39" s="44" t="n">
        <x:v>40</x:v>
      </x:c>
      <x:c r="J39" s="44" t="n">
        <x:v>72</x:v>
      </x:c>
      <x:c r="K39" s="44"/>
      <x:c r="L39" s="44" t="n">
        <x:v>50</x:v>
      </x:c>
      <x:c r="M39" s="44" t="n">
        <x:v>47</x:v>
      </x:c>
      <x:c r="N39" s="45" t="n">
        <x:f>IF(AND(J39&lt;&gt;"",L39&lt;&gt;0),J39/L39,"")</x:f>
        <x:v>1.44</x:v>
      </x:c>
      <x:c r="O39" s="45" t="str">
        <x:f>IF(AND(K39&lt;&gt;"",L39&lt;&gt;0),K39/L39,"")</x:f>
      </x:c>
      <x:c r="P39" s="46" t="str">
        <x:f>IF(AND(K39&lt;&gt;"",K39&lt;&gt;0,L39&lt;&gt;""),L39/K39,"")</x:f>
      </x:c>
      <x:c r="Q39" s="46" t="n">
        <x:f>IF(AND(L39&lt;&gt;"",L39&lt;&gt;0,M39&lt;&gt;""),M39/L39,"")</x:f>
        <x:v>0.94</x:v>
      </x:c>
      <x:c r="R39" s="45" t="n">
        <x:f>IF(N39&lt;&gt;"",N39,IF(O39&lt;&gt;"",O39,""))</x:f>
        <x:v>1.44</x:v>
      </x:c>
      <x:c r="S39" s="2" t="str">
        <x:f>IF(N39&lt;&gt;"","志愿/合格",IF(O39&lt;&gt;"","受验/合格",""))</x:f>
        <x:v>志愿/合格</x:v>
      </x:c>
      <x:c r="T39" s="2" t="str">
        <x:v>官方</x:v>
      </x:c>
      <x:c r="U39" s="2" t="str">
        <x:v>高</x:v>
      </x:c>
      <x:c r="V39" s="27" t="str">
        <x:v>情報理工学系研究科 志願者・合格者・入学者数</x:v>
      </x:c>
      <x:c r="W39" s="27" t="str">
        <x:v>PDF 1頁「修士課程」各専攻行、2022～2026年度列</x:v>
      </x:c>
      <x:c r="X39" s="27" t="str">
        <x:v>https://www.i.u-tokyo.ac.jp/edu/entra/ay2026data_j.pdf</x:v>
      </x:c>
      <x:c r="Y39" s="27" t="str">
        <x:v>専攻単位。各年度は前年10月入学者と当年4月入学者の合計。</x:v>
      </x:c>
      <x:c r="Z39" s="47" t="str">
        <x:v>受験者数は表に掲載なし。</x:v>
      </x:c>
    </x:row>
    <x:row r="40" ht="38" customHeight="1">
      <x:c r="A40" s="2" t="str">
        <x:v>東京大学</x:v>
      </x:c>
      <x:c r="B40" s="2" t="str">
        <x:v>情報理工学系研究科</x:v>
      </x:c>
      <x:c r="C40" s="2" t="str">
        <x:v>創造情報学専攻</x:v>
      </x:c>
      <x:c r="D40" s="44" t="n">
        <x:v>2022</x:v>
      </x:c>
      <x:c r="E40" s="27" t="str">
        <x:v>全年合计（10月及次年4月入学）</x:v>
      </x:c>
      <x:c r="F40" s="27" t="str">
        <x:v>修士課程</x:v>
      </x:c>
      <x:c r="G40" s="27" t="str">
        <x:v>全类别合计</x:v>
      </x:c>
      <x:c r="H40" s="27" t="str">
        <x:v>专攻/系</x:v>
      </x:c>
      <x:c r="I40" s="44" t="n">
        <x:v>33</x:v>
      </x:c>
      <x:c r="J40" s="44" t="n">
        <x:v>132</x:v>
      </x:c>
      <x:c r="K40" s="44"/>
      <x:c r="L40" s="44" t="n">
        <x:v>41</x:v>
      </x:c>
      <x:c r="M40" s="44" t="n">
        <x:v>39</x:v>
      </x:c>
      <x:c r="N40" s="45" t="n">
        <x:f>IF(AND(J40&lt;&gt;"",L40&lt;&gt;0),J40/L40,"")</x:f>
        <x:v>3.2195121951219514</x:v>
      </x:c>
      <x:c r="O40" s="45" t="str">
        <x:f>IF(AND(K40&lt;&gt;"",L40&lt;&gt;0),K40/L40,"")</x:f>
      </x:c>
      <x:c r="P40" s="46" t="str">
        <x:f>IF(AND(K40&lt;&gt;"",K40&lt;&gt;0,L40&lt;&gt;""),L40/K40,"")</x:f>
      </x:c>
      <x:c r="Q40" s="46" t="n">
        <x:f>IF(AND(L40&lt;&gt;"",L40&lt;&gt;0,M40&lt;&gt;""),M40/L40,"")</x:f>
        <x:v>0.9512195121951219</x:v>
      </x:c>
      <x:c r="R40" s="45" t="n">
        <x:f>IF(N40&lt;&gt;"",N40,IF(O40&lt;&gt;"",O40,""))</x:f>
        <x:v>3.2195121951219514</x:v>
      </x:c>
      <x:c r="S40" s="2" t="str">
        <x:f>IF(N40&lt;&gt;"","志愿/合格",IF(O40&lt;&gt;"","受验/合格",""))</x:f>
        <x:v>志愿/合格</x:v>
      </x:c>
      <x:c r="T40" s="2" t="str">
        <x:v>官方</x:v>
      </x:c>
      <x:c r="U40" s="2" t="str">
        <x:v>高</x:v>
      </x:c>
      <x:c r="V40" s="27" t="str">
        <x:v>情報理工学系研究科 志願者・合格者・入学者数</x:v>
      </x:c>
      <x:c r="W40" s="27" t="str">
        <x:v>PDF 1頁「修士課程」各専攻行、2022～2026年度列</x:v>
      </x:c>
      <x:c r="X40" s="27" t="str">
        <x:v>https://www.i.u-tokyo.ac.jp/edu/entra/ay2026data_j.pdf</x:v>
      </x:c>
      <x:c r="Y40" s="27" t="str">
        <x:v>専攻単位。各年度は前年10月入学者と当年4月入学者の合計。</x:v>
      </x:c>
      <x:c r="Z40" s="47" t="str">
        <x:v>受験者数は表に掲載なし。</x:v>
      </x:c>
    </x:row>
    <x:row r="41" ht="38" customHeight="1">
      <x:c r="A41" s="2" t="str">
        <x:v>東京大学</x:v>
      </x:c>
      <x:c r="B41" s="2" t="str">
        <x:v>情報理工学系研究科</x:v>
      </x:c>
      <x:c r="C41" s="2" t="str">
        <x:v>創造情報学専攻</x:v>
      </x:c>
      <x:c r="D41" s="44" t="n">
        <x:v>2023</x:v>
      </x:c>
      <x:c r="E41" s="27" t="str">
        <x:v>全年合计（10月及次年4月入学）</x:v>
      </x:c>
      <x:c r="F41" s="27" t="str">
        <x:v>修士課程</x:v>
      </x:c>
      <x:c r="G41" s="27" t="str">
        <x:v>全类别合计</x:v>
      </x:c>
      <x:c r="H41" s="27" t="str">
        <x:v>专攻/系</x:v>
      </x:c>
      <x:c r="I41" s="44" t="n">
        <x:v>33</x:v>
      </x:c>
      <x:c r="J41" s="44" t="n">
        <x:v>134</x:v>
      </x:c>
      <x:c r="K41" s="44"/>
      <x:c r="L41" s="44" t="n">
        <x:v>43</x:v>
      </x:c>
      <x:c r="M41" s="44" t="n">
        <x:v>41</x:v>
      </x:c>
      <x:c r="N41" s="45" t="n">
        <x:f>IF(AND(J41&lt;&gt;"",L41&lt;&gt;0),J41/L41,"")</x:f>
        <x:v>3.116279069767442</x:v>
      </x:c>
      <x:c r="O41" s="45" t="str">
        <x:f>IF(AND(K41&lt;&gt;"",L41&lt;&gt;0),K41/L41,"")</x:f>
      </x:c>
      <x:c r="P41" s="46" t="str">
        <x:f>IF(AND(K41&lt;&gt;"",K41&lt;&gt;0,L41&lt;&gt;""),L41/K41,"")</x:f>
      </x:c>
      <x:c r="Q41" s="46" t="n">
        <x:f>IF(AND(L41&lt;&gt;"",L41&lt;&gt;0,M41&lt;&gt;""),M41/L41,"")</x:f>
        <x:v>0.9534883720930233</x:v>
      </x:c>
      <x:c r="R41" s="45" t="n">
        <x:f>IF(N41&lt;&gt;"",N41,IF(O41&lt;&gt;"",O41,""))</x:f>
        <x:v>3.116279069767442</x:v>
      </x:c>
      <x:c r="S41" s="2" t="str">
        <x:f>IF(N41&lt;&gt;"","志愿/合格",IF(O41&lt;&gt;"","受验/合格",""))</x:f>
        <x:v>志愿/合格</x:v>
      </x:c>
      <x:c r="T41" s="2" t="str">
        <x:v>官方</x:v>
      </x:c>
      <x:c r="U41" s="2" t="str">
        <x:v>高</x:v>
      </x:c>
      <x:c r="V41" s="27" t="str">
        <x:v>情報理工学系研究科 志願者・合格者・入学者数</x:v>
      </x:c>
      <x:c r="W41" s="27" t="str">
        <x:v>PDF 1頁「修士課程」各専攻行、2022～2026年度列</x:v>
      </x:c>
      <x:c r="X41" s="27" t="str">
        <x:v>https://www.i.u-tokyo.ac.jp/edu/entra/ay2026data_j.pdf</x:v>
      </x:c>
      <x:c r="Y41" s="27" t="str">
        <x:v>専攻単位。各年度は前年10月入学者と当年4月入学者の合計。</x:v>
      </x:c>
      <x:c r="Z41" s="47" t="str">
        <x:v>受験者数は表に掲載なし。</x:v>
      </x:c>
    </x:row>
    <x:row r="42" ht="38" customHeight="1">
      <x:c r="A42" s="2" t="str">
        <x:v>東京大学</x:v>
      </x:c>
      <x:c r="B42" s="2" t="str">
        <x:v>情報理工学系研究科</x:v>
      </x:c>
      <x:c r="C42" s="2" t="str">
        <x:v>創造情報学専攻</x:v>
      </x:c>
      <x:c r="D42" s="44" t="n">
        <x:v>2024</x:v>
      </x:c>
      <x:c r="E42" s="27" t="str">
        <x:v>全年合计（10月及次年4月入学）</x:v>
      </x:c>
      <x:c r="F42" s="27" t="str">
        <x:v>修士課程</x:v>
      </x:c>
      <x:c r="G42" s="27" t="str">
        <x:v>全类别合计</x:v>
      </x:c>
      <x:c r="H42" s="27" t="str">
        <x:v>专攻/系</x:v>
      </x:c>
      <x:c r="I42" s="44" t="n">
        <x:v>33</x:v>
      </x:c>
      <x:c r="J42" s="44" t="n">
        <x:v>140</x:v>
      </x:c>
      <x:c r="K42" s="44"/>
      <x:c r="L42" s="44" t="n">
        <x:v>42</x:v>
      </x:c>
      <x:c r="M42" s="44" t="n">
        <x:v>41</x:v>
      </x:c>
      <x:c r="N42" s="45" t="n">
        <x:f>IF(AND(J42&lt;&gt;"",L42&lt;&gt;0),J42/L42,"")</x:f>
        <x:v>3.3333333333333335</x:v>
      </x:c>
      <x:c r="O42" s="45" t="str">
        <x:f>IF(AND(K42&lt;&gt;"",L42&lt;&gt;0),K42/L42,"")</x:f>
      </x:c>
      <x:c r="P42" s="46" t="str">
        <x:f>IF(AND(K42&lt;&gt;"",K42&lt;&gt;0,L42&lt;&gt;""),L42/K42,"")</x:f>
      </x:c>
      <x:c r="Q42" s="46" t="n">
        <x:f>IF(AND(L42&lt;&gt;"",L42&lt;&gt;0,M42&lt;&gt;""),M42/L42,"")</x:f>
        <x:v>0.9761904761904762</x:v>
      </x:c>
      <x:c r="R42" s="45" t="n">
        <x:f>IF(N42&lt;&gt;"",N42,IF(O42&lt;&gt;"",O42,""))</x:f>
        <x:v>3.3333333333333335</x:v>
      </x:c>
      <x:c r="S42" s="2" t="str">
        <x:f>IF(N42&lt;&gt;"","志愿/合格",IF(O42&lt;&gt;"","受验/合格",""))</x:f>
        <x:v>志愿/合格</x:v>
      </x:c>
      <x:c r="T42" s="2" t="str">
        <x:v>官方</x:v>
      </x:c>
      <x:c r="U42" s="2" t="str">
        <x:v>高</x:v>
      </x:c>
      <x:c r="V42" s="27" t="str">
        <x:v>情報理工学系研究科 志願者・合格者・入学者数</x:v>
      </x:c>
      <x:c r="W42" s="27" t="str">
        <x:v>PDF 1頁「修士課程」各専攻行、2022～2026年度列</x:v>
      </x:c>
      <x:c r="X42" s="27" t="str">
        <x:v>https://www.i.u-tokyo.ac.jp/edu/entra/ay2026data_j.pdf</x:v>
      </x:c>
      <x:c r="Y42" s="27" t="str">
        <x:v>専攻単位。各年度は前年10月入学者と当年4月入学者の合計。</x:v>
      </x:c>
      <x:c r="Z42" s="47" t="str">
        <x:v>受験者数は表に掲載なし。</x:v>
      </x:c>
    </x:row>
    <x:row r="43" ht="38" customHeight="1">
      <x:c r="A43" s="2" t="str">
        <x:v>東京大学</x:v>
      </x:c>
      <x:c r="B43" s="2" t="str">
        <x:v>情報理工学系研究科</x:v>
      </x:c>
      <x:c r="C43" s="2" t="str">
        <x:v>創造情報学専攻</x:v>
      </x:c>
      <x:c r="D43" s="44" t="n">
        <x:v>2025</x:v>
      </x:c>
      <x:c r="E43" s="27" t="str">
        <x:v>全年合计（10月及次年4月入学）</x:v>
      </x:c>
      <x:c r="F43" s="27" t="str">
        <x:v>修士課程</x:v>
      </x:c>
      <x:c r="G43" s="27" t="str">
        <x:v>全类别合计</x:v>
      </x:c>
      <x:c r="H43" s="27" t="str">
        <x:v>专攻/系</x:v>
      </x:c>
      <x:c r="I43" s="44" t="n">
        <x:v>38</x:v>
      </x:c>
      <x:c r="J43" s="44" t="n">
        <x:v>173</x:v>
      </x:c>
      <x:c r="K43" s="44"/>
      <x:c r="L43" s="44" t="n">
        <x:v>37</x:v>
      </x:c>
      <x:c r="M43" s="44" t="n">
        <x:v>37</x:v>
      </x:c>
      <x:c r="N43" s="45" t="n">
        <x:f>IF(AND(J43&lt;&gt;"",L43&lt;&gt;0),J43/L43,"")</x:f>
        <x:v>4.675675675675675</x:v>
      </x:c>
      <x:c r="O43" s="45" t="str">
        <x:f>IF(AND(K43&lt;&gt;"",L43&lt;&gt;0),K43/L43,"")</x:f>
      </x:c>
      <x:c r="P43" s="46" t="str">
        <x:f>IF(AND(K43&lt;&gt;"",K43&lt;&gt;0,L43&lt;&gt;""),L43/K43,"")</x:f>
      </x:c>
      <x:c r="Q43" s="46" t="n">
        <x:f>IF(AND(L43&lt;&gt;"",L43&lt;&gt;0,M43&lt;&gt;""),M43/L43,"")</x:f>
        <x:v>1</x:v>
      </x:c>
      <x:c r="R43" s="45" t="n">
        <x:f>IF(N43&lt;&gt;"",N43,IF(O43&lt;&gt;"",O43,""))</x:f>
        <x:v>4.675675675675675</x:v>
      </x:c>
      <x:c r="S43" s="2" t="str">
        <x:f>IF(N43&lt;&gt;"","志愿/合格",IF(O43&lt;&gt;"","受验/合格",""))</x:f>
        <x:v>志愿/合格</x:v>
      </x:c>
      <x:c r="T43" s="2" t="str">
        <x:v>官方</x:v>
      </x:c>
      <x:c r="U43" s="2" t="str">
        <x:v>高</x:v>
      </x:c>
      <x:c r="V43" s="27" t="str">
        <x:v>情報理工学系研究科 志願者・合格者・入学者数</x:v>
      </x:c>
      <x:c r="W43" s="27" t="str">
        <x:v>PDF 1頁「修士課程」各専攻行、2022～2026年度列</x:v>
      </x:c>
      <x:c r="X43" s="27" t="str">
        <x:v>https://www.i.u-tokyo.ac.jp/edu/entra/ay2026data_j.pdf</x:v>
      </x:c>
      <x:c r="Y43" s="27" t="str">
        <x:v>専攻単位。各年度は前年10月入学者と当年4月入学者の合計。</x:v>
      </x:c>
      <x:c r="Z43" s="47" t="str">
        <x:v>受験者数は表に掲載なし。</x:v>
      </x:c>
    </x:row>
    <x:row r="44" ht="38" customHeight="1">
      <x:c r="A44" s="2" t="str">
        <x:v>東京大学</x:v>
      </x:c>
      <x:c r="B44" s="2" t="str">
        <x:v>情報理工学系研究科</x:v>
      </x:c>
      <x:c r="C44" s="2" t="str">
        <x:v>創造情報学専攻</x:v>
      </x:c>
      <x:c r="D44" s="44" t="n">
        <x:v>2026</x:v>
      </x:c>
      <x:c r="E44" s="27" t="str">
        <x:v>全年合计（10月及次年4月入学）</x:v>
      </x:c>
      <x:c r="F44" s="27" t="str">
        <x:v>修士課程</x:v>
      </x:c>
      <x:c r="G44" s="27" t="str">
        <x:v>全类别合计</x:v>
      </x:c>
      <x:c r="H44" s="27" t="str">
        <x:v>专攻/系</x:v>
      </x:c>
      <x:c r="I44" s="44" t="n">
        <x:v>38</x:v>
      </x:c>
      <x:c r="J44" s="44" t="n">
        <x:v>206</x:v>
      </x:c>
      <x:c r="K44" s="44"/>
      <x:c r="L44" s="44" t="n">
        <x:v>47</x:v>
      </x:c>
      <x:c r="M44" s="44" t="n">
        <x:v>45</x:v>
      </x:c>
      <x:c r="N44" s="45" t="n">
        <x:f>IF(AND(J44&lt;&gt;"",L44&lt;&gt;0),J44/L44,"")</x:f>
        <x:v>4.382978723404255</x:v>
      </x:c>
      <x:c r="O44" s="45" t="str">
        <x:f>IF(AND(K44&lt;&gt;"",L44&lt;&gt;0),K44/L44,"")</x:f>
      </x:c>
      <x:c r="P44" s="46" t="str">
        <x:f>IF(AND(K44&lt;&gt;"",K44&lt;&gt;0,L44&lt;&gt;""),L44/K44,"")</x:f>
      </x:c>
      <x:c r="Q44" s="46" t="n">
        <x:f>IF(AND(L44&lt;&gt;"",L44&lt;&gt;0,M44&lt;&gt;""),M44/L44,"")</x:f>
        <x:v>0.9574468085106383</x:v>
      </x:c>
      <x:c r="R44" s="45" t="n">
        <x:f>IF(N44&lt;&gt;"",N44,IF(O44&lt;&gt;"",O44,""))</x:f>
        <x:v>4.382978723404255</x:v>
      </x:c>
      <x:c r="S44" s="2" t="str">
        <x:f>IF(N44&lt;&gt;"","志愿/合格",IF(O44&lt;&gt;"","受验/合格",""))</x:f>
        <x:v>志愿/合格</x:v>
      </x:c>
      <x:c r="T44" s="2" t="str">
        <x:v>官方</x:v>
      </x:c>
      <x:c r="U44" s="2" t="str">
        <x:v>高</x:v>
      </x:c>
      <x:c r="V44" s="27" t="str">
        <x:v>情報理工学系研究科 志願者・合格者・入学者数</x:v>
      </x:c>
      <x:c r="W44" s="27" t="str">
        <x:v>PDF 1頁「修士課程」各専攻行、2022～2026年度列</x:v>
      </x:c>
      <x:c r="X44" s="27" t="str">
        <x:v>https://www.i.u-tokyo.ac.jp/edu/entra/ay2026data_j.pdf</x:v>
      </x:c>
      <x:c r="Y44" s="27" t="str">
        <x:v>専攻単位。各年度は前年10月入学者と当年4月入学者の合計。</x:v>
      </x:c>
      <x:c r="Z44" s="47" t="str">
        <x:v>受験者数は表に掲載なし。</x:v>
      </x:c>
    </x:row>
    <x:row r="45" ht="38" customHeight="1">
      <x:c r="A45" s="2" t="str">
        <x:v>東京大学</x:v>
      </x:c>
      <x:c r="B45" s="2" t="str">
        <x:v>情報理工学系研究科</x:v>
      </x:c>
      <x:c r="C45" s="2" t="str">
        <x:v>知能機械情報学専攻</x:v>
      </x:c>
      <x:c r="D45" s="44" t="n">
        <x:v>2022</x:v>
      </x:c>
      <x:c r="E45" s="27" t="str">
        <x:v>全年合计（10月及次年4月入学）</x:v>
      </x:c>
      <x:c r="F45" s="27" t="str">
        <x:v>修士課程</x:v>
      </x:c>
      <x:c r="G45" s="27" t="str">
        <x:v>全类别合计</x:v>
      </x:c>
      <x:c r="H45" s="27" t="str">
        <x:v>专攻/系</x:v>
      </x:c>
      <x:c r="I45" s="44" t="n">
        <x:v>48</x:v>
      </x:c>
      <x:c r="J45" s="44" t="n">
        <x:v>87</x:v>
      </x:c>
      <x:c r="K45" s="44"/>
      <x:c r="L45" s="44" t="n">
        <x:v>54</x:v>
      </x:c>
      <x:c r="M45" s="44" t="n">
        <x:v>54</x:v>
      </x:c>
      <x:c r="N45" s="45" t="n">
        <x:f>IF(AND(J45&lt;&gt;"",L45&lt;&gt;0),J45/L45,"")</x:f>
        <x:v>1.6111111111111112</x:v>
      </x:c>
      <x:c r="O45" s="45" t="str">
        <x:f>IF(AND(K45&lt;&gt;"",L45&lt;&gt;0),K45/L45,"")</x:f>
      </x:c>
      <x:c r="P45" s="46" t="str">
        <x:f>IF(AND(K45&lt;&gt;"",K45&lt;&gt;0,L45&lt;&gt;""),L45/K45,"")</x:f>
      </x:c>
      <x:c r="Q45" s="46" t="n">
        <x:f>IF(AND(L45&lt;&gt;"",L45&lt;&gt;0,M45&lt;&gt;""),M45/L45,"")</x:f>
        <x:v>1</x:v>
      </x:c>
      <x:c r="R45" s="45" t="n">
        <x:f>IF(N45&lt;&gt;"",N45,IF(O45&lt;&gt;"",O45,""))</x:f>
        <x:v>1.6111111111111112</x:v>
      </x:c>
      <x:c r="S45" s="2" t="str">
        <x:f>IF(N45&lt;&gt;"","志愿/合格",IF(O45&lt;&gt;"","受验/合格",""))</x:f>
        <x:v>志愿/合格</x:v>
      </x:c>
      <x:c r="T45" s="2" t="str">
        <x:v>官方</x:v>
      </x:c>
      <x:c r="U45" s="2" t="str">
        <x:v>高</x:v>
      </x:c>
      <x:c r="V45" s="27" t="str">
        <x:v>情報理工学系研究科 志願者・合格者・入学者数</x:v>
      </x:c>
      <x:c r="W45" s="27" t="str">
        <x:v>PDF 1頁「修士課程」各専攻行、2022～2026年度列</x:v>
      </x:c>
      <x:c r="X45" s="27" t="str">
        <x:v>https://www.i.u-tokyo.ac.jp/edu/entra/ay2026data_j.pdf</x:v>
      </x:c>
      <x:c r="Y45" s="27" t="str">
        <x:v>専攻単位。各年度は前年10月入学者と当年4月入学者の合計。</x:v>
      </x:c>
      <x:c r="Z45" s="47" t="str">
        <x:v>受験者数は表に掲載なし。</x:v>
      </x:c>
    </x:row>
    <x:row r="46" ht="38" customHeight="1">
      <x:c r="A46" s="2" t="str">
        <x:v>東京大学</x:v>
      </x:c>
      <x:c r="B46" s="2" t="str">
        <x:v>情報理工学系研究科</x:v>
      </x:c>
      <x:c r="C46" s="2" t="str">
        <x:v>知能機械情報学専攻</x:v>
      </x:c>
      <x:c r="D46" s="44" t="n">
        <x:v>2023</x:v>
      </x:c>
      <x:c r="E46" s="27" t="str">
        <x:v>全年合计（10月及次年4月入学）</x:v>
      </x:c>
      <x:c r="F46" s="27" t="str">
        <x:v>修士課程</x:v>
      </x:c>
      <x:c r="G46" s="27" t="str">
        <x:v>全类别合计</x:v>
      </x:c>
      <x:c r="H46" s="27" t="str">
        <x:v>专攻/系</x:v>
      </x:c>
      <x:c r="I46" s="44" t="n">
        <x:v>48</x:v>
      </x:c>
      <x:c r="J46" s="44" t="n">
        <x:v>91</x:v>
      </x:c>
      <x:c r="K46" s="44"/>
      <x:c r="L46" s="44" t="n">
        <x:v>63</x:v>
      </x:c>
      <x:c r="M46" s="44" t="n">
        <x:v>61</x:v>
      </x:c>
      <x:c r="N46" s="45" t="n">
        <x:f>IF(AND(J46&lt;&gt;"",L46&lt;&gt;0),J46/L46,"")</x:f>
        <x:v>1.4444444444444444</x:v>
      </x:c>
      <x:c r="O46" s="45" t="str">
        <x:f>IF(AND(K46&lt;&gt;"",L46&lt;&gt;0),K46/L46,"")</x:f>
      </x:c>
      <x:c r="P46" s="46" t="str">
        <x:f>IF(AND(K46&lt;&gt;"",K46&lt;&gt;0,L46&lt;&gt;""),L46/K46,"")</x:f>
      </x:c>
      <x:c r="Q46" s="46" t="n">
        <x:f>IF(AND(L46&lt;&gt;"",L46&lt;&gt;0,M46&lt;&gt;""),M46/L46,"")</x:f>
        <x:v>0.9682539682539683</x:v>
      </x:c>
      <x:c r="R46" s="45" t="n">
        <x:f>IF(N46&lt;&gt;"",N46,IF(O46&lt;&gt;"",O46,""))</x:f>
        <x:v>1.4444444444444444</x:v>
      </x:c>
      <x:c r="S46" s="2" t="str">
        <x:f>IF(N46&lt;&gt;"","志愿/合格",IF(O46&lt;&gt;"","受验/合格",""))</x:f>
        <x:v>志愿/合格</x:v>
      </x:c>
      <x:c r="T46" s="2" t="str">
        <x:v>官方</x:v>
      </x:c>
      <x:c r="U46" s="2" t="str">
        <x:v>高</x:v>
      </x:c>
      <x:c r="V46" s="27" t="str">
        <x:v>情報理工学系研究科 志願者・合格者・入学者数</x:v>
      </x:c>
      <x:c r="W46" s="27" t="str">
        <x:v>PDF 1頁「修士課程」各専攻行、2022～2026年度列</x:v>
      </x:c>
      <x:c r="X46" s="27" t="str">
        <x:v>https://www.i.u-tokyo.ac.jp/edu/entra/ay2026data_j.pdf</x:v>
      </x:c>
      <x:c r="Y46" s="27" t="str">
        <x:v>専攻単位。各年度は前年10月入学者と当年4月入学者の合計。</x:v>
      </x:c>
      <x:c r="Z46" s="47" t="str">
        <x:v>受験者数は表に掲載なし。</x:v>
      </x:c>
    </x:row>
    <x:row r="47" ht="38" customHeight="1">
      <x:c r="A47" s="2" t="str">
        <x:v>東京大学</x:v>
      </x:c>
      <x:c r="B47" s="2" t="str">
        <x:v>情報理工学系研究科</x:v>
      </x:c>
      <x:c r="C47" s="2" t="str">
        <x:v>知能機械情報学専攻</x:v>
      </x:c>
      <x:c r="D47" s="44" t="n">
        <x:v>2024</x:v>
      </x:c>
      <x:c r="E47" s="27" t="str">
        <x:v>全年合计（10月及次年4月入学）</x:v>
      </x:c>
      <x:c r="F47" s="27" t="str">
        <x:v>修士課程</x:v>
      </x:c>
      <x:c r="G47" s="27" t="str">
        <x:v>全类别合计</x:v>
      </x:c>
      <x:c r="H47" s="27" t="str">
        <x:v>专攻/系</x:v>
      </x:c>
      <x:c r="I47" s="44" t="n">
        <x:v>48</x:v>
      </x:c>
      <x:c r="J47" s="44" t="n">
        <x:v>86</x:v>
      </x:c>
      <x:c r="K47" s="44"/>
      <x:c r="L47" s="44" t="n">
        <x:v>56</x:v>
      </x:c>
      <x:c r="M47" s="44" t="n">
        <x:v>54</x:v>
      </x:c>
      <x:c r="N47" s="45" t="n">
        <x:f>IF(AND(J47&lt;&gt;"",L47&lt;&gt;0),J47/L47,"")</x:f>
        <x:v>1.5357142857142858</x:v>
      </x:c>
      <x:c r="O47" s="45" t="str">
        <x:f>IF(AND(K47&lt;&gt;"",L47&lt;&gt;0),K47/L47,"")</x:f>
      </x:c>
      <x:c r="P47" s="46" t="str">
        <x:f>IF(AND(K47&lt;&gt;"",K47&lt;&gt;0,L47&lt;&gt;""),L47/K47,"")</x:f>
      </x:c>
      <x:c r="Q47" s="46" t="n">
        <x:f>IF(AND(L47&lt;&gt;"",L47&lt;&gt;0,M47&lt;&gt;""),M47/L47,"")</x:f>
        <x:v>0.9642857142857143</x:v>
      </x:c>
      <x:c r="R47" s="45" t="n">
        <x:f>IF(N47&lt;&gt;"",N47,IF(O47&lt;&gt;"",O47,""))</x:f>
        <x:v>1.5357142857142858</x:v>
      </x:c>
      <x:c r="S47" s="2" t="str">
        <x:f>IF(N47&lt;&gt;"","志愿/合格",IF(O47&lt;&gt;"","受验/合格",""))</x:f>
        <x:v>志愿/合格</x:v>
      </x:c>
      <x:c r="T47" s="2" t="str">
        <x:v>官方</x:v>
      </x:c>
      <x:c r="U47" s="2" t="str">
        <x:v>高</x:v>
      </x:c>
      <x:c r="V47" s="27" t="str">
        <x:v>情報理工学系研究科 志願者・合格者・入学者数</x:v>
      </x:c>
      <x:c r="W47" s="27" t="str">
        <x:v>PDF 1頁「修士課程」各専攻行、2022～2026年度列</x:v>
      </x:c>
      <x:c r="X47" s="27" t="str">
        <x:v>https://www.i.u-tokyo.ac.jp/edu/entra/ay2026data_j.pdf</x:v>
      </x:c>
      <x:c r="Y47" s="27" t="str">
        <x:v>専攻単位。各年度は前年10月入学者と当年4月入学者の合計。</x:v>
      </x:c>
      <x:c r="Z47" s="47" t="str">
        <x:v>受験者数は表に掲載なし。</x:v>
      </x:c>
    </x:row>
    <x:row r="48" ht="38" customHeight="1">
      <x:c r="A48" s="2" t="str">
        <x:v>東京大学</x:v>
      </x:c>
      <x:c r="B48" s="2" t="str">
        <x:v>情報理工学系研究科</x:v>
      </x:c>
      <x:c r="C48" s="2" t="str">
        <x:v>知能機械情報学専攻</x:v>
      </x:c>
      <x:c r="D48" s="44" t="n">
        <x:v>2025</x:v>
      </x:c>
      <x:c r="E48" s="27" t="str">
        <x:v>全年合计（10月及次年4月入学）</x:v>
      </x:c>
      <x:c r="F48" s="27" t="str">
        <x:v>修士課程</x:v>
      </x:c>
      <x:c r="G48" s="27" t="str">
        <x:v>全类别合计</x:v>
      </x:c>
      <x:c r="H48" s="27" t="str">
        <x:v>专攻/系</x:v>
      </x:c>
      <x:c r="I48" s="44" t="n">
        <x:v>56</x:v>
      </x:c>
      <x:c r="J48" s="44" t="n">
        <x:v>80</x:v>
      </x:c>
      <x:c r="K48" s="44"/>
      <x:c r="L48" s="44" t="n">
        <x:v>59</x:v>
      </x:c>
      <x:c r="M48" s="44" t="n">
        <x:v>56</x:v>
      </x:c>
      <x:c r="N48" s="45" t="n">
        <x:f>IF(AND(J48&lt;&gt;"",L48&lt;&gt;0),J48/L48,"")</x:f>
        <x:v>1.3559322033898304</x:v>
      </x:c>
      <x:c r="O48" s="45" t="str">
        <x:f>IF(AND(K48&lt;&gt;"",L48&lt;&gt;0),K48/L48,"")</x:f>
      </x:c>
      <x:c r="P48" s="46" t="str">
        <x:f>IF(AND(K48&lt;&gt;"",K48&lt;&gt;0,L48&lt;&gt;""),L48/K48,"")</x:f>
      </x:c>
      <x:c r="Q48" s="46" t="n">
        <x:f>IF(AND(L48&lt;&gt;"",L48&lt;&gt;0,M48&lt;&gt;""),M48/L48,"")</x:f>
        <x:v>0.9491525423728814</x:v>
      </x:c>
      <x:c r="R48" s="45" t="n">
        <x:f>IF(N48&lt;&gt;"",N48,IF(O48&lt;&gt;"",O48,""))</x:f>
        <x:v>1.3559322033898304</x:v>
      </x:c>
      <x:c r="S48" s="2" t="str">
        <x:f>IF(N48&lt;&gt;"","志愿/合格",IF(O48&lt;&gt;"","受验/合格",""))</x:f>
        <x:v>志愿/合格</x:v>
      </x:c>
      <x:c r="T48" s="2" t="str">
        <x:v>官方</x:v>
      </x:c>
      <x:c r="U48" s="2" t="str">
        <x:v>高</x:v>
      </x:c>
      <x:c r="V48" s="27" t="str">
        <x:v>情報理工学系研究科 志願者・合格者・入学者数</x:v>
      </x:c>
      <x:c r="W48" s="27" t="str">
        <x:v>PDF 1頁「修士課程」各専攻行、2022～2026年度列</x:v>
      </x:c>
      <x:c r="X48" s="27" t="str">
        <x:v>https://www.i.u-tokyo.ac.jp/edu/entra/ay2026data_j.pdf</x:v>
      </x:c>
      <x:c r="Y48" s="27" t="str">
        <x:v>専攻単位。各年度は前年10月入学者と当年4月入学者の合計。</x:v>
      </x:c>
      <x:c r="Z48" s="47" t="str">
        <x:v>受験者数は表に掲載なし。</x:v>
      </x:c>
    </x:row>
    <x:row r="49" ht="38" customHeight="1">
      <x:c r="A49" s="2" t="str">
        <x:v>東京大学</x:v>
      </x:c>
      <x:c r="B49" s="2" t="str">
        <x:v>情報理工学系研究科</x:v>
      </x:c>
      <x:c r="C49" s="2" t="str">
        <x:v>知能機械情報学専攻</x:v>
      </x:c>
      <x:c r="D49" s="44" t="n">
        <x:v>2026</x:v>
      </x:c>
      <x:c r="E49" s="27" t="str">
        <x:v>全年合计（10月及次年4月入学）</x:v>
      </x:c>
      <x:c r="F49" s="27" t="str">
        <x:v>修士課程</x:v>
      </x:c>
      <x:c r="G49" s="27" t="str">
        <x:v>全类别合计</x:v>
      </x:c>
      <x:c r="H49" s="27" t="str">
        <x:v>专攻/系</x:v>
      </x:c>
      <x:c r="I49" s="44" t="n">
        <x:v>56</x:v>
      </x:c>
      <x:c r="J49" s="44" t="n">
        <x:v>67</x:v>
      </x:c>
      <x:c r="K49" s="44"/>
      <x:c r="L49" s="44" t="n">
        <x:v>50</x:v>
      </x:c>
      <x:c r="M49" s="44" t="n">
        <x:v>47</x:v>
      </x:c>
      <x:c r="N49" s="45" t="n">
        <x:f>IF(AND(J49&lt;&gt;"",L49&lt;&gt;0),J49/L49,"")</x:f>
        <x:v>1.34</x:v>
      </x:c>
      <x:c r="O49" s="45" t="str">
        <x:f>IF(AND(K49&lt;&gt;"",L49&lt;&gt;0),K49/L49,"")</x:f>
      </x:c>
      <x:c r="P49" s="46" t="str">
        <x:f>IF(AND(K49&lt;&gt;"",K49&lt;&gt;0,L49&lt;&gt;""),L49/K49,"")</x:f>
      </x:c>
      <x:c r="Q49" s="46" t="n">
        <x:f>IF(AND(L49&lt;&gt;"",L49&lt;&gt;0,M49&lt;&gt;""),M49/L49,"")</x:f>
        <x:v>0.94</x:v>
      </x:c>
      <x:c r="R49" s="45" t="n">
        <x:f>IF(N49&lt;&gt;"",N49,IF(O49&lt;&gt;"",O49,""))</x:f>
        <x:v>1.34</x:v>
      </x:c>
      <x:c r="S49" s="2" t="str">
        <x:f>IF(N49&lt;&gt;"","志愿/合格",IF(O49&lt;&gt;"","受验/合格",""))</x:f>
        <x:v>志愿/合格</x:v>
      </x:c>
      <x:c r="T49" s="2" t="str">
        <x:v>官方</x:v>
      </x:c>
      <x:c r="U49" s="2" t="str">
        <x:v>高</x:v>
      </x:c>
      <x:c r="V49" s="27" t="str">
        <x:v>情報理工学系研究科 志願者・合格者・入学者数</x:v>
      </x:c>
      <x:c r="W49" s="27" t="str">
        <x:v>PDF 1頁「修士課程」各専攻行、2022～2026年度列</x:v>
      </x:c>
      <x:c r="X49" s="27" t="str">
        <x:v>https://www.i.u-tokyo.ac.jp/edu/entra/ay2026data_j.pdf</x:v>
      </x:c>
      <x:c r="Y49" s="27" t="str">
        <x:v>専攻単位。各年度は前年10月入学者と当年4月入学者の合計。</x:v>
      </x:c>
      <x:c r="Z49" s="47" t="str">
        <x:v>受験者数は表に掲載なし。</x:v>
      </x:c>
    </x:row>
    <x:row r="50" ht="38" customHeight="1">
      <x:c r="A50" s="2" t="str">
        <x:v>東京大学</x:v>
      </x:c>
      <x:c r="B50" s="2" t="str">
        <x:v>情報理工学系研究科</x:v>
      </x:c>
      <x:c r="C50" s="2" t="str">
        <x:v>電子情報学専攻</x:v>
      </x:c>
      <x:c r="D50" s="44" t="n">
        <x:v>2022</x:v>
      </x:c>
      <x:c r="E50" s="27" t="str">
        <x:v>全年合计（10月及次年4月入学）</x:v>
      </x:c>
      <x:c r="F50" s="27" t="str">
        <x:v>修士課程</x:v>
      </x:c>
      <x:c r="G50" s="27" t="str">
        <x:v>全类别合计</x:v>
      </x:c>
      <x:c r="H50" s="27" t="str">
        <x:v>专攻/系</x:v>
      </x:c>
      <x:c r="I50" s="44" t="n">
        <x:v>48</x:v>
      </x:c>
      <x:c r="J50" s="44" t="n">
        <x:v>148</x:v>
      </x:c>
      <x:c r="K50" s="44"/>
      <x:c r="L50" s="44" t="n">
        <x:v>65</x:v>
      </x:c>
      <x:c r="M50" s="44" t="n">
        <x:v>61</x:v>
      </x:c>
      <x:c r="N50" s="45" t="n">
        <x:f>IF(AND(J50&lt;&gt;"",L50&lt;&gt;0),J50/L50,"")</x:f>
        <x:v>2.276923076923077</x:v>
      </x:c>
      <x:c r="O50" s="45" t="str">
        <x:f>IF(AND(K50&lt;&gt;"",L50&lt;&gt;0),K50/L50,"")</x:f>
      </x:c>
      <x:c r="P50" s="46" t="str">
        <x:f>IF(AND(K50&lt;&gt;"",K50&lt;&gt;0,L50&lt;&gt;""),L50/K50,"")</x:f>
      </x:c>
      <x:c r="Q50" s="46" t="n">
        <x:f>IF(AND(L50&lt;&gt;"",L50&lt;&gt;0,M50&lt;&gt;""),M50/L50,"")</x:f>
        <x:v>0.9384615384615385</x:v>
      </x:c>
      <x:c r="R50" s="45" t="n">
        <x:f>IF(N50&lt;&gt;"",N50,IF(O50&lt;&gt;"",O50,""))</x:f>
        <x:v>2.276923076923077</x:v>
      </x:c>
      <x:c r="S50" s="2" t="str">
        <x:f>IF(N50&lt;&gt;"","志愿/合格",IF(O50&lt;&gt;"","受验/合格",""))</x:f>
        <x:v>志愿/合格</x:v>
      </x:c>
      <x:c r="T50" s="2" t="str">
        <x:v>官方</x:v>
      </x:c>
      <x:c r="U50" s="2" t="str">
        <x:v>高</x:v>
      </x:c>
      <x:c r="V50" s="27" t="str">
        <x:v>情報理工学系研究科 志願者・合格者・入学者数</x:v>
      </x:c>
      <x:c r="W50" s="27" t="str">
        <x:v>PDF 1頁「修士課程」各専攻行、2022～2026年度列</x:v>
      </x:c>
      <x:c r="X50" s="27" t="str">
        <x:v>https://www.i.u-tokyo.ac.jp/edu/entra/ay2026data_j.pdf</x:v>
      </x:c>
      <x:c r="Y50" s="27" t="str">
        <x:v>専攻単位。各年度は前年10月入学者と当年4月入学者の合計。</x:v>
      </x:c>
      <x:c r="Z50" s="47" t="str">
        <x:v>受験者数は表に掲載なし。</x:v>
      </x:c>
    </x:row>
    <x:row r="51" ht="38" customHeight="1">
      <x:c r="A51" s="2" t="str">
        <x:v>東京大学</x:v>
      </x:c>
      <x:c r="B51" s="2" t="str">
        <x:v>情報理工学系研究科</x:v>
      </x:c>
      <x:c r="C51" s="2" t="str">
        <x:v>電子情報学専攻</x:v>
      </x:c>
      <x:c r="D51" s="44" t="n">
        <x:v>2023</x:v>
      </x:c>
      <x:c r="E51" s="27" t="str">
        <x:v>全年合计（10月及次年4月入学）</x:v>
      </x:c>
      <x:c r="F51" s="27" t="str">
        <x:v>修士課程</x:v>
      </x:c>
      <x:c r="G51" s="27" t="str">
        <x:v>全类别合计</x:v>
      </x:c>
      <x:c r="H51" s="27" t="str">
        <x:v>专攻/系</x:v>
      </x:c>
      <x:c r="I51" s="44" t="n">
        <x:v>48</x:v>
      </x:c>
      <x:c r="J51" s="44" t="n">
        <x:v>147</x:v>
      </x:c>
      <x:c r="K51" s="44"/>
      <x:c r="L51" s="44" t="n">
        <x:v>62</x:v>
      </x:c>
      <x:c r="M51" s="44" t="n">
        <x:v>60</x:v>
      </x:c>
      <x:c r="N51" s="45" t="n">
        <x:f>IF(AND(J51&lt;&gt;"",L51&lt;&gt;0),J51/L51,"")</x:f>
        <x:v>2.370967741935484</x:v>
      </x:c>
      <x:c r="O51" s="45" t="str">
        <x:f>IF(AND(K51&lt;&gt;"",L51&lt;&gt;0),K51/L51,"")</x:f>
      </x:c>
      <x:c r="P51" s="46" t="str">
        <x:f>IF(AND(K51&lt;&gt;"",K51&lt;&gt;0,L51&lt;&gt;""),L51/K51,"")</x:f>
      </x:c>
      <x:c r="Q51" s="46" t="n">
        <x:f>IF(AND(L51&lt;&gt;"",L51&lt;&gt;0,M51&lt;&gt;""),M51/L51,"")</x:f>
        <x:v>0.967741935483871</x:v>
      </x:c>
      <x:c r="R51" s="45" t="n">
        <x:f>IF(N51&lt;&gt;"",N51,IF(O51&lt;&gt;"",O51,""))</x:f>
        <x:v>2.370967741935484</x:v>
      </x:c>
      <x:c r="S51" s="2" t="str">
        <x:f>IF(N51&lt;&gt;"","志愿/合格",IF(O51&lt;&gt;"","受验/合格",""))</x:f>
        <x:v>志愿/合格</x:v>
      </x:c>
      <x:c r="T51" s="2" t="str">
        <x:v>官方</x:v>
      </x:c>
      <x:c r="U51" s="2" t="str">
        <x:v>高</x:v>
      </x:c>
      <x:c r="V51" s="27" t="str">
        <x:v>情報理工学系研究科 志願者・合格者・入学者数</x:v>
      </x:c>
      <x:c r="W51" s="27" t="str">
        <x:v>PDF 1頁「修士課程」各専攻行、2022～2026年度列</x:v>
      </x:c>
      <x:c r="X51" s="27" t="str">
        <x:v>https://www.i.u-tokyo.ac.jp/edu/entra/ay2026data_j.pdf</x:v>
      </x:c>
      <x:c r="Y51" s="27" t="str">
        <x:v>専攻単位。各年度は前年10月入学者と当年4月入学者の合計。</x:v>
      </x:c>
      <x:c r="Z51" s="47" t="str">
        <x:v>受験者数は表に掲載なし。</x:v>
      </x:c>
    </x:row>
    <x:row r="52" ht="38" customHeight="1">
      <x:c r="A52" s="2" t="str">
        <x:v>東京大学</x:v>
      </x:c>
      <x:c r="B52" s="2" t="str">
        <x:v>情報理工学系研究科</x:v>
      </x:c>
      <x:c r="C52" s="2" t="str">
        <x:v>電子情報学専攻</x:v>
      </x:c>
      <x:c r="D52" s="44" t="n">
        <x:v>2024</x:v>
      </x:c>
      <x:c r="E52" s="27" t="str">
        <x:v>全年合计（10月及次年4月入学）</x:v>
      </x:c>
      <x:c r="F52" s="27" t="str">
        <x:v>修士課程</x:v>
      </x:c>
      <x:c r="G52" s="27" t="str">
        <x:v>全类别合计</x:v>
      </x:c>
      <x:c r="H52" s="27" t="str">
        <x:v>专攻/系</x:v>
      </x:c>
      <x:c r="I52" s="44" t="n">
        <x:v>48</x:v>
      </x:c>
      <x:c r="J52" s="44" t="n">
        <x:v>133</x:v>
      </x:c>
      <x:c r="K52" s="44"/>
      <x:c r="L52" s="44" t="n">
        <x:v>63</x:v>
      </x:c>
      <x:c r="M52" s="44" t="n">
        <x:v>58</x:v>
      </x:c>
      <x:c r="N52" s="45" t="n">
        <x:f>IF(AND(J52&lt;&gt;"",L52&lt;&gt;0),J52/L52,"")</x:f>
        <x:v>2.111111111111111</x:v>
      </x:c>
      <x:c r="O52" s="45" t="str">
        <x:f>IF(AND(K52&lt;&gt;"",L52&lt;&gt;0),K52/L52,"")</x:f>
      </x:c>
      <x:c r="P52" s="46" t="str">
        <x:f>IF(AND(K52&lt;&gt;"",K52&lt;&gt;0,L52&lt;&gt;""),L52/K52,"")</x:f>
      </x:c>
      <x:c r="Q52" s="46" t="n">
        <x:f>IF(AND(L52&lt;&gt;"",L52&lt;&gt;0,M52&lt;&gt;""),M52/L52,"")</x:f>
        <x:v>0.9206349206349206</x:v>
      </x:c>
      <x:c r="R52" s="45" t="n">
        <x:f>IF(N52&lt;&gt;"",N52,IF(O52&lt;&gt;"",O52,""))</x:f>
        <x:v>2.111111111111111</x:v>
      </x:c>
      <x:c r="S52" s="2" t="str">
        <x:f>IF(N52&lt;&gt;"","志愿/合格",IF(O52&lt;&gt;"","受验/合格",""))</x:f>
        <x:v>志愿/合格</x:v>
      </x:c>
      <x:c r="T52" s="2" t="str">
        <x:v>官方</x:v>
      </x:c>
      <x:c r="U52" s="2" t="str">
        <x:v>高</x:v>
      </x:c>
      <x:c r="V52" s="27" t="str">
        <x:v>情報理工学系研究科 志願者・合格者・入学者数</x:v>
      </x:c>
      <x:c r="W52" s="27" t="str">
        <x:v>PDF 1頁「修士課程」各専攻行、2022～2026年度列</x:v>
      </x:c>
      <x:c r="X52" s="27" t="str">
        <x:v>https://www.i.u-tokyo.ac.jp/edu/entra/ay2026data_j.pdf</x:v>
      </x:c>
      <x:c r="Y52" s="27" t="str">
        <x:v>専攻単位。各年度は前年10月入学者と当年4月入学者の合計。</x:v>
      </x:c>
      <x:c r="Z52" s="47" t="str">
        <x:v>受験者数は表に掲載なし。</x:v>
      </x:c>
    </x:row>
    <x:row r="53" ht="38" customHeight="1">
      <x:c r="A53" s="2" t="str">
        <x:v>東京大学</x:v>
      </x:c>
      <x:c r="B53" s="2" t="str">
        <x:v>情報理工学系研究科</x:v>
      </x:c>
      <x:c r="C53" s="2" t="str">
        <x:v>電子情報学専攻</x:v>
      </x:c>
      <x:c r="D53" s="44" t="n">
        <x:v>2025</x:v>
      </x:c>
      <x:c r="E53" s="27" t="str">
        <x:v>全年合计（10月及次年4月入学）</x:v>
      </x:c>
      <x:c r="F53" s="27" t="str">
        <x:v>修士課程</x:v>
      </x:c>
      <x:c r="G53" s="27" t="str">
        <x:v>全类别合计</x:v>
      </x:c>
      <x:c r="H53" s="27" t="str">
        <x:v>专攻/系</x:v>
      </x:c>
      <x:c r="I53" s="44" t="n">
        <x:v>60</x:v>
      </x:c>
      <x:c r="J53" s="44" t="n">
        <x:v>131</x:v>
      </x:c>
      <x:c r="K53" s="44"/>
      <x:c r="L53" s="44" t="n">
        <x:v>55</x:v>
      </x:c>
      <x:c r="M53" s="44" t="n">
        <x:v>55</x:v>
      </x:c>
      <x:c r="N53" s="45" t="n">
        <x:f>IF(AND(J53&lt;&gt;"",L53&lt;&gt;0),J53/L53,"")</x:f>
        <x:v>2.381818181818182</x:v>
      </x:c>
      <x:c r="O53" s="45" t="str">
        <x:f>IF(AND(K53&lt;&gt;"",L53&lt;&gt;0),K53/L53,"")</x:f>
      </x:c>
      <x:c r="P53" s="46" t="str">
        <x:f>IF(AND(K53&lt;&gt;"",K53&lt;&gt;0,L53&lt;&gt;""),L53/K53,"")</x:f>
      </x:c>
      <x:c r="Q53" s="46" t="n">
        <x:f>IF(AND(L53&lt;&gt;"",L53&lt;&gt;0,M53&lt;&gt;""),M53/L53,"")</x:f>
        <x:v>1</x:v>
      </x:c>
      <x:c r="R53" s="45" t="n">
        <x:f>IF(N53&lt;&gt;"",N53,IF(O53&lt;&gt;"",O53,""))</x:f>
        <x:v>2.381818181818182</x:v>
      </x:c>
      <x:c r="S53" s="2" t="str">
        <x:f>IF(N53&lt;&gt;"","志愿/合格",IF(O53&lt;&gt;"","受验/合格",""))</x:f>
        <x:v>志愿/合格</x:v>
      </x:c>
      <x:c r="T53" s="2" t="str">
        <x:v>官方</x:v>
      </x:c>
      <x:c r="U53" s="2" t="str">
        <x:v>高</x:v>
      </x:c>
      <x:c r="V53" s="27" t="str">
        <x:v>情報理工学系研究科 志願者・合格者・入学者数</x:v>
      </x:c>
      <x:c r="W53" s="27" t="str">
        <x:v>PDF 1頁「修士課程」各専攻行、2022～2026年度列</x:v>
      </x:c>
      <x:c r="X53" s="27" t="str">
        <x:v>https://www.i.u-tokyo.ac.jp/edu/entra/ay2026data_j.pdf</x:v>
      </x:c>
      <x:c r="Y53" s="27" t="str">
        <x:v>専攻単位。各年度は前年10月入学者と当年4月入学者の合計。</x:v>
      </x:c>
      <x:c r="Z53" s="47" t="str">
        <x:v>受験者数は表に掲載なし。</x:v>
      </x:c>
    </x:row>
    <x:row r="54" ht="38" customHeight="1">
      <x:c r="A54" s="2" t="str">
        <x:v>東京大学</x:v>
      </x:c>
      <x:c r="B54" s="2" t="str">
        <x:v>情報理工学系研究科</x:v>
      </x:c>
      <x:c r="C54" s="2" t="str">
        <x:v>電子情報学専攻</x:v>
      </x:c>
      <x:c r="D54" s="44" t="n">
        <x:v>2026</x:v>
      </x:c>
      <x:c r="E54" s="27" t="str">
        <x:v>全年合计（10月及次年4月入学）</x:v>
      </x:c>
      <x:c r="F54" s="27" t="str">
        <x:v>修士課程</x:v>
      </x:c>
      <x:c r="G54" s="27" t="str">
        <x:v>全类别合计</x:v>
      </x:c>
      <x:c r="H54" s="27" t="str">
        <x:v>专攻/系</x:v>
      </x:c>
      <x:c r="I54" s="44" t="n">
        <x:v>60</x:v>
      </x:c>
      <x:c r="J54" s="44" t="n">
        <x:v>198</x:v>
      </x:c>
      <x:c r="K54" s="44"/>
      <x:c r="L54" s="44" t="n">
        <x:v>66</x:v>
      </x:c>
      <x:c r="M54" s="44" t="n">
        <x:v>64</x:v>
      </x:c>
      <x:c r="N54" s="45" t="n">
        <x:f>IF(AND(J54&lt;&gt;"",L54&lt;&gt;0),J54/L54,"")</x:f>
        <x:v>3</x:v>
      </x:c>
      <x:c r="O54" s="45" t="str">
        <x:f>IF(AND(K54&lt;&gt;"",L54&lt;&gt;0),K54/L54,"")</x:f>
      </x:c>
      <x:c r="P54" s="46" t="str">
        <x:f>IF(AND(K54&lt;&gt;"",K54&lt;&gt;0,L54&lt;&gt;""),L54/K54,"")</x:f>
      </x:c>
      <x:c r="Q54" s="46" t="n">
        <x:f>IF(AND(L54&lt;&gt;"",L54&lt;&gt;0,M54&lt;&gt;""),M54/L54,"")</x:f>
        <x:v>0.9696969696969697</x:v>
      </x:c>
      <x:c r="R54" s="45" t="n">
        <x:f>IF(N54&lt;&gt;"",N54,IF(O54&lt;&gt;"",O54,""))</x:f>
        <x:v>3</x:v>
      </x:c>
      <x:c r="S54" s="2" t="str">
        <x:f>IF(N54&lt;&gt;"","志愿/合格",IF(O54&lt;&gt;"","受验/合格",""))</x:f>
        <x:v>志愿/合格</x:v>
      </x:c>
      <x:c r="T54" s="2" t="str">
        <x:v>官方</x:v>
      </x:c>
      <x:c r="U54" s="2" t="str">
        <x:v>高</x:v>
      </x:c>
      <x:c r="V54" s="27" t="str">
        <x:v>情報理工学系研究科 志願者・合格者・入学者数</x:v>
      </x:c>
      <x:c r="W54" s="27" t="str">
        <x:v>PDF 1頁「修士課程」各専攻行、2022～2026年度列</x:v>
      </x:c>
      <x:c r="X54" s="27" t="str">
        <x:v>https://www.i.u-tokyo.ac.jp/edu/entra/ay2026data_j.pdf</x:v>
      </x:c>
      <x:c r="Y54" s="27" t="str">
        <x:v>専攻単位。各年度は前年10月入学者と当年4月入学者の合計。</x:v>
      </x:c>
      <x:c r="Z54" s="47" t="str">
        <x:v>受験者数は表に掲載なし。</x:v>
      </x:c>
    </x:row>
    <x:row r="55" ht="38" customHeight="1">
      <x:c r="A55" s="2" t="str">
        <x:v>東京大学</x:v>
      </x:c>
      <x:c r="B55" s="2" t="str">
        <x:v>新領域創成科学研究科</x:v>
      </x:c>
      <x:c r="C55" s="2" t="str">
        <x:v>メディカル情報生命専攻</x:v>
      </x:c>
      <x:c r="D55" s="44" t="n">
        <x:v>2022</x:v>
      </x:c>
      <x:c r="E55" s="27" t="str">
        <x:v>全年合计（入試日程Bの翌10月入学希望者を含む）</x:v>
      </x:c>
      <x:c r="F55" s="27" t="str">
        <x:v>修士課程</x:v>
      </x:c>
      <x:c r="G55" s="27" t="str">
        <x:v>全类别合计</x:v>
      </x:c>
      <x:c r="H55" s="27" t="str">
        <x:v>专攻/系</x:v>
      </x:c>
      <x:c r="I55" s="44" t="n">
        <x:v>53</x:v>
      </x:c>
      <x:c r="J55" s="44" t="n">
        <x:v>161</x:v>
      </x:c>
      <x:c r="K55" s="44"/>
      <x:c r="L55" s="44" t="n">
        <x:v>93</x:v>
      </x:c>
      <x:c r="M55" s="44"/>
      <x:c r="N55" s="45" t="n">
        <x:f>IF(AND(J55&lt;&gt;"",L55&lt;&gt;0),J55/L55,"")</x:f>
        <x:v>1.7311827956989247</x:v>
      </x:c>
      <x:c r="O55" s="45" t="str">
        <x:f>IF(AND(K55&lt;&gt;"",L55&lt;&gt;0),K55/L55,"")</x:f>
      </x:c>
      <x:c r="P55" s="46" t="str">
        <x:f>IF(AND(K55&lt;&gt;"",K55&lt;&gt;0,L55&lt;&gt;""),L55/K55,"")</x:f>
      </x:c>
      <x:c r="Q55" s="46" t="str">
        <x:f>IF(AND(L55&lt;&gt;"",L55&lt;&gt;0,M55&lt;&gt;""),M55/L55,"")</x:f>
      </x:c>
      <x:c r="R55" s="45" t="n">
        <x:f>IF(N55&lt;&gt;"",N55,IF(O55&lt;&gt;"",O55,""))</x:f>
        <x:v>1.7311827956989247</x:v>
      </x:c>
      <x:c r="S55" s="2" t="str">
        <x:f>IF(N55&lt;&gt;"","志愿/合格",IF(O55&lt;&gt;"","受验/合格",""))</x:f>
        <x:v>志愿/合格</x:v>
      </x:c>
      <x:c r="T55" s="2" t="str">
        <x:v>官方</x:v>
      </x:c>
      <x:c r="U55" s="2" t="str">
        <x:v>高</x:v>
      </x:c>
      <x:c r="V55" s="27" t="str">
        <x:v>入試実施状況について＜修士課程＞</x:v>
      </x:c>
      <x:c r="W55" s="27" t="str">
        <x:v>PDF 1頁、令和4～7年度の該当専攻行</x:v>
      </x:c>
      <x:c r="X55" s="27" t="str">
        <x:v>https://www.k.u-tokyo.ac.jp/assets/files/2026result_mc.pdf</x:v>
      </x:c>
      <x:c r="Y55" s="27" t="str">
        <x:v>専攻単位。メディカル情報生命専攻のみ、同一募集人員53の下にある3群の出願者・合格者を合算。</x:v>
      </x:c>
      <x:c r="Z55" s="47" t="str">
        <x:v>公式表のメディカルサイエンス群、医療イノベーションコース、情報生命科学群を合算。括弧内外国人数は内数のため加算していない。</x:v>
      </x:c>
    </x:row>
    <x:row r="56" ht="38" customHeight="1">
      <x:c r="A56" s="2" t="str">
        <x:v>東京大学</x:v>
      </x:c>
      <x:c r="B56" s="2" t="str">
        <x:v>新領域創成科学研究科</x:v>
      </x:c>
      <x:c r="C56" s="2" t="str">
        <x:v>メディカル情報生命専攻</x:v>
      </x:c>
      <x:c r="D56" s="44" t="n">
        <x:v>2023</x:v>
      </x:c>
      <x:c r="E56" s="27" t="str">
        <x:v>全年合计（入試日程Bの翌10月入学希望者を含む）</x:v>
      </x:c>
      <x:c r="F56" s="27" t="str">
        <x:v>修士課程</x:v>
      </x:c>
      <x:c r="G56" s="27" t="str">
        <x:v>全类别合计</x:v>
      </x:c>
      <x:c r="H56" s="27" t="str">
        <x:v>专攻/系</x:v>
      </x:c>
      <x:c r="I56" s="44" t="n">
        <x:v>53</x:v>
      </x:c>
      <x:c r="J56" s="44" t="n">
        <x:v>184</x:v>
      </x:c>
      <x:c r="K56" s="44"/>
      <x:c r="L56" s="44" t="n">
        <x:v>97</x:v>
      </x:c>
      <x:c r="M56" s="44"/>
      <x:c r="N56" s="45" t="n">
        <x:f>IF(AND(J56&lt;&gt;"",L56&lt;&gt;0),J56/L56,"")</x:f>
        <x:v>1.8969072164948453</x:v>
      </x:c>
      <x:c r="O56" s="45" t="str">
        <x:f>IF(AND(K56&lt;&gt;"",L56&lt;&gt;0),K56/L56,"")</x:f>
      </x:c>
      <x:c r="P56" s="46" t="str">
        <x:f>IF(AND(K56&lt;&gt;"",K56&lt;&gt;0,L56&lt;&gt;""),L56/K56,"")</x:f>
      </x:c>
      <x:c r="Q56" s="46" t="str">
        <x:f>IF(AND(L56&lt;&gt;"",L56&lt;&gt;0,M56&lt;&gt;""),M56/L56,"")</x:f>
      </x:c>
      <x:c r="R56" s="45" t="n">
        <x:f>IF(N56&lt;&gt;"",N56,IF(O56&lt;&gt;"",O56,""))</x:f>
        <x:v>1.8969072164948453</x:v>
      </x:c>
      <x:c r="S56" s="2" t="str">
        <x:f>IF(N56&lt;&gt;"","志愿/合格",IF(O56&lt;&gt;"","受验/合格",""))</x:f>
        <x:v>志愿/合格</x:v>
      </x:c>
      <x:c r="T56" s="2" t="str">
        <x:v>官方</x:v>
      </x:c>
      <x:c r="U56" s="2" t="str">
        <x:v>高</x:v>
      </x:c>
      <x:c r="V56" s="27" t="str">
        <x:v>入試実施状況について＜修士課程＞</x:v>
      </x:c>
      <x:c r="W56" s="27" t="str">
        <x:v>PDF 1頁、令和4～7年度の該当専攻行</x:v>
      </x:c>
      <x:c r="X56" s="27" t="str">
        <x:v>https://www.k.u-tokyo.ac.jp/assets/files/2026result_mc.pdf</x:v>
      </x:c>
      <x:c r="Y56" s="27" t="str">
        <x:v>専攻単位。メディカル情報生命専攻のみ、同一募集人員53の下にある3群の出願者・合格者を合算。</x:v>
      </x:c>
      <x:c r="Z56" s="47" t="str">
        <x:v>公式表のメディカルサイエンス群、医療イノベーションコース、情報生命科学群を合算。括弧内外国人数は内数のため加算していない。</x:v>
      </x:c>
    </x:row>
    <x:row r="57" ht="38" customHeight="1">
      <x:c r="A57" s="2" t="str">
        <x:v>東京大学</x:v>
      </x:c>
      <x:c r="B57" s="2" t="str">
        <x:v>新領域創成科学研究科</x:v>
      </x:c>
      <x:c r="C57" s="2" t="str">
        <x:v>メディカル情報生命専攻</x:v>
      </x:c>
      <x:c r="D57" s="44" t="n">
        <x:v>2024</x:v>
      </x:c>
      <x:c r="E57" s="27" t="str">
        <x:v>全年合计（入試日程Bの翌10月入学希望者を含む）</x:v>
      </x:c>
      <x:c r="F57" s="27" t="str">
        <x:v>修士課程</x:v>
      </x:c>
      <x:c r="G57" s="27" t="str">
        <x:v>全类别合计</x:v>
      </x:c>
      <x:c r="H57" s="27" t="str">
        <x:v>专攻/系</x:v>
      </x:c>
      <x:c r="I57" s="44" t="n">
        <x:v>53</x:v>
      </x:c>
      <x:c r="J57" s="44" t="n">
        <x:v>224</x:v>
      </x:c>
      <x:c r="K57" s="44"/>
      <x:c r="L57" s="44" t="n">
        <x:v>94</x:v>
      </x:c>
      <x:c r="M57" s="44"/>
      <x:c r="N57" s="45" t="n">
        <x:f>IF(AND(J57&lt;&gt;"",L57&lt;&gt;0),J57/L57,"")</x:f>
        <x:v>2.382978723404255</x:v>
      </x:c>
      <x:c r="O57" s="45" t="str">
        <x:f>IF(AND(K57&lt;&gt;"",L57&lt;&gt;0),K57/L57,"")</x:f>
      </x:c>
      <x:c r="P57" s="46" t="str">
        <x:f>IF(AND(K57&lt;&gt;"",K57&lt;&gt;0,L57&lt;&gt;""),L57/K57,"")</x:f>
      </x:c>
      <x:c r="Q57" s="46" t="str">
        <x:f>IF(AND(L57&lt;&gt;"",L57&lt;&gt;0,M57&lt;&gt;""),M57/L57,"")</x:f>
      </x:c>
      <x:c r="R57" s="45" t="n">
        <x:f>IF(N57&lt;&gt;"",N57,IF(O57&lt;&gt;"",O57,""))</x:f>
        <x:v>2.382978723404255</x:v>
      </x:c>
      <x:c r="S57" s="2" t="str">
        <x:f>IF(N57&lt;&gt;"","志愿/合格",IF(O57&lt;&gt;"","受验/合格",""))</x:f>
        <x:v>志愿/合格</x:v>
      </x:c>
      <x:c r="T57" s="2" t="str">
        <x:v>官方</x:v>
      </x:c>
      <x:c r="U57" s="2" t="str">
        <x:v>高</x:v>
      </x:c>
      <x:c r="V57" s="27" t="str">
        <x:v>入試実施状況について＜修士課程＞</x:v>
      </x:c>
      <x:c r="W57" s="27" t="str">
        <x:v>PDF 1頁、令和4～7年度の該当専攻行</x:v>
      </x:c>
      <x:c r="X57" s="27" t="str">
        <x:v>https://www.k.u-tokyo.ac.jp/assets/files/2026result_mc.pdf</x:v>
      </x:c>
      <x:c r="Y57" s="27" t="str">
        <x:v>専攻単位。メディカル情報生命専攻のみ、同一募集人員53の下にある3群の出願者・合格者を合算。</x:v>
      </x:c>
      <x:c r="Z57" s="47" t="str">
        <x:v>公式表のメディカルサイエンス群、医療イノベーションコース、情報生命科学群を合算。括弧内外国人数は内数のため加算していない。</x:v>
      </x:c>
    </x:row>
    <x:row r="58" ht="38" customHeight="1">
      <x:c r="A58" s="2" t="str">
        <x:v>東京大学</x:v>
      </x:c>
      <x:c r="B58" s="2" t="str">
        <x:v>新領域創成科学研究科</x:v>
      </x:c>
      <x:c r="C58" s="2" t="str">
        <x:v>メディカル情報生命専攻</x:v>
      </x:c>
      <x:c r="D58" s="44" t="n">
        <x:v>2025</x:v>
      </x:c>
      <x:c r="E58" s="27" t="str">
        <x:v>全年合计（入試日程Bの翌10月入学希望者を含む）</x:v>
      </x:c>
      <x:c r="F58" s="27" t="str">
        <x:v>修士課程</x:v>
      </x:c>
      <x:c r="G58" s="27" t="str">
        <x:v>全类别合计</x:v>
      </x:c>
      <x:c r="H58" s="27" t="str">
        <x:v>专攻/系</x:v>
      </x:c>
      <x:c r="I58" s="44" t="n">
        <x:v>53</x:v>
      </x:c>
      <x:c r="J58" s="44" t="n">
        <x:v>194</x:v>
      </x:c>
      <x:c r="K58" s="44"/>
      <x:c r="L58" s="44" t="n">
        <x:v>78</x:v>
      </x:c>
      <x:c r="M58" s="44"/>
      <x:c r="N58" s="45" t="n">
        <x:f>IF(AND(J58&lt;&gt;"",L58&lt;&gt;0),J58/L58,"")</x:f>
        <x:v>2.4871794871794872</x:v>
      </x:c>
      <x:c r="O58" s="45" t="str">
        <x:f>IF(AND(K58&lt;&gt;"",L58&lt;&gt;0),K58/L58,"")</x:f>
      </x:c>
      <x:c r="P58" s="46" t="str">
        <x:f>IF(AND(K58&lt;&gt;"",K58&lt;&gt;0,L58&lt;&gt;""),L58/K58,"")</x:f>
      </x:c>
      <x:c r="Q58" s="46" t="str">
        <x:f>IF(AND(L58&lt;&gt;"",L58&lt;&gt;0,M58&lt;&gt;""),M58/L58,"")</x:f>
      </x:c>
      <x:c r="R58" s="45" t="n">
        <x:f>IF(N58&lt;&gt;"",N58,IF(O58&lt;&gt;"",O58,""))</x:f>
        <x:v>2.4871794871794872</x:v>
      </x:c>
      <x:c r="S58" s="2" t="str">
        <x:f>IF(N58&lt;&gt;"","志愿/合格",IF(O58&lt;&gt;"","受验/合格",""))</x:f>
        <x:v>志愿/合格</x:v>
      </x:c>
      <x:c r="T58" s="2" t="str">
        <x:v>官方</x:v>
      </x:c>
      <x:c r="U58" s="2" t="str">
        <x:v>高</x:v>
      </x:c>
      <x:c r="V58" s="27" t="str">
        <x:v>入試実施状況について＜修士課程＞</x:v>
      </x:c>
      <x:c r="W58" s="27" t="str">
        <x:v>PDF 1頁、令和4～7年度の該当専攻行</x:v>
      </x:c>
      <x:c r="X58" s="27" t="str">
        <x:v>https://www.k.u-tokyo.ac.jp/assets/files/2026result_mc.pdf</x:v>
      </x:c>
      <x:c r="Y58" s="27" t="str">
        <x:v>専攻単位。メディカル情報生命専攻のみ、同一募集人員53の下にある3群の出願者・合格者を合算。</x:v>
      </x:c>
      <x:c r="Z58" s="47" t="str">
        <x:v>公式表のメディカルサイエンス群、医療イノベーションコース、情報生命科学群を合算。括弧内外国人数は内数のため加算していない。</x:v>
      </x:c>
    </x:row>
    <x:row r="59" ht="38" customHeight="1">
      <x:c r="A59" s="2" t="str">
        <x:v>東京大学</x:v>
      </x:c>
      <x:c r="B59" s="2" t="str">
        <x:v>新領域創成科学研究科</x:v>
      </x:c>
      <x:c r="C59" s="2" t="str">
        <x:v>海洋技術環境学専攻</x:v>
      </x:c>
      <x:c r="D59" s="44" t="n">
        <x:v>2022</x:v>
      </x:c>
      <x:c r="E59" s="27" t="str">
        <x:v>全年合计（入試日程Bの翌10月入学希望者を含む）</x:v>
      </x:c>
      <x:c r="F59" s="27" t="str">
        <x:v>修士課程</x:v>
      </x:c>
      <x:c r="G59" s="27" t="str">
        <x:v>全类别合计</x:v>
      </x:c>
      <x:c r="H59" s="27" t="str">
        <x:v>专攻/系</x:v>
      </x:c>
      <x:c r="I59" s="44" t="n">
        <x:v>18</x:v>
      </x:c>
      <x:c r="J59" s="44" t="n">
        <x:v>63</x:v>
      </x:c>
      <x:c r="K59" s="44"/>
      <x:c r="L59" s="44" t="n">
        <x:v>27</x:v>
      </x:c>
      <x:c r="M59" s="44"/>
      <x:c r="N59" s="45" t="n">
        <x:f>IF(AND(J59&lt;&gt;"",L59&lt;&gt;0),J59/L59,"")</x:f>
        <x:v>2.3333333333333335</x:v>
      </x:c>
      <x:c r="O59" s="45" t="str">
        <x:f>IF(AND(K59&lt;&gt;"",L59&lt;&gt;0),K59/L59,"")</x:f>
      </x:c>
      <x:c r="P59" s="46" t="str">
        <x:f>IF(AND(K59&lt;&gt;"",K59&lt;&gt;0,L59&lt;&gt;""),L59/K59,"")</x:f>
      </x:c>
      <x:c r="Q59" s="46" t="str">
        <x:f>IF(AND(L59&lt;&gt;"",L59&lt;&gt;0,M59&lt;&gt;""),M59/L59,"")</x:f>
      </x:c>
      <x:c r="R59" s="45" t="n">
        <x:f>IF(N59&lt;&gt;"",N59,IF(O59&lt;&gt;"",O59,""))</x:f>
        <x:v>2.3333333333333335</x:v>
      </x:c>
      <x:c r="S59" s="2" t="str">
        <x:f>IF(N59&lt;&gt;"","志愿/合格",IF(O59&lt;&gt;"","受验/合格",""))</x:f>
        <x:v>志愿/合格</x:v>
      </x:c>
      <x:c r="T59" s="2" t="str">
        <x:v>官方</x:v>
      </x:c>
      <x:c r="U59" s="2" t="str">
        <x:v>高</x:v>
      </x:c>
      <x:c r="V59" s="27" t="str">
        <x:v>入試実施状況について＜修士課程＞</x:v>
      </x:c>
      <x:c r="W59" s="27" t="str">
        <x:v>PDF 1頁、令和4～7年度の該当専攻行</x:v>
      </x:c>
      <x:c r="X59" s="27" t="str">
        <x:v>https://www.k.u-tokyo.ac.jp/assets/files/2026result_mc.pdf</x:v>
      </x:c>
      <x:c r="Y59" s="27" t="str">
        <x:v>専攻単位。メディカル情報生命専攻のみ、同一募集人員53の下にある3群の出願者・合格者を合算。</x:v>
      </x:c>
      <x:c r="Z59" s="47" t="str">
        <x:v>括弧内外国人数は内数。</x:v>
      </x:c>
    </x:row>
    <x:row r="60" ht="38" customHeight="1">
      <x:c r="A60" s="2" t="str">
        <x:v>東京大学</x:v>
      </x:c>
      <x:c r="B60" s="2" t="str">
        <x:v>新領域創成科学研究科</x:v>
      </x:c>
      <x:c r="C60" s="2" t="str">
        <x:v>海洋技術環境学専攻</x:v>
      </x:c>
      <x:c r="D60" s="44" t="n">
        <x:v>2023</x:v>
      </x:c>
      <x:c r="E60" s="27" t="str">
        <x:v>全年合计（入試日程Bの翌10月入学希望者を含む）</x:v>
      </x:c>
      <x:c r="F60" s="27" t="str">
        <x:v>修士課程</x:v>
      </x:c>
      <x:c r="G60" s="27" t="str">
        <x:v>全类别合计</x:v>
      </x:c>
      <x:c r="H60" s="27" t="str">
        <x:v>专攻/系</x:v>
      </x:c>
      <x:c r="I60" s="44" t="n">
        <x:v>18</x:v>
      </x:c>
      <x:c r="J60" s="44" t="n">
        <x:v>62</x:v>
      </x:c>
      <x:c r="K60" s="44"/>
      <x:c r="L60" s="44" t="n">
        <x:v>30</x:v>
      </x:c>
      <x:c r="M60" s="44"/>
      <x:c r="N60" s="45" t="n">
        <x:f>IF(AND(J60&lt;&gt;"",L60&lt;&gt;0),J60/L60,"")</x:f>
        <x:v>2.066666666666667</x:v>
      </x:c>
      <x:c r="O60" s="45" t="str">
        <x:f>IF(AND(K60&lt;&gt;"",L60&lt;&gt;0),K60/L60,"")</x:f>
      </x:c>
      <x:c r="P60" s="46" t="str">
        <x:f>IF(AND(K60&lt;&gt;"",K60&lt;&gt;0,L60&lt;&gt;""),L60/K60,"")</x:f>
      </x:c>
      <x:c r="Q60" s="46" t="str">
        <x:f>IF(AND(L60&lt;&gt;"",L60&lt;&gt;0,M60&lt;&gt;""),M60/L60,"")</x:f>
      </x:c>
      <x:c r="R60" s="45" t="n">
        <x:f>IF(N60&lt;&gt;"",N60,IF(O60&lt;&gt;"",O60,""))</x:f>
        <x:v>2.066666666666667</x:v>
      </x:c>
      <x:c r="S60" s="2" t="str">
        <x:f>IF(N60&lt;&gt;"","志愿/合格",IF(O60&lt;&gt;"","受验/合格",""))</x:f>
        <x:v>志愿/合格</x:v>
      </x:c>
      <x:c r="T60" s="2" t="str">
        <x:v>官方</x:v>
      </x:c>
      <x:c r="U60" s="2" t="str">
        <x:v>高</x:v>
      </x:c>
      <x:c r="V60" s="27" t="str">
        <x:v>入試実施状況について＜修士課程＞</x:v>
      </x:c>
      <x:c r="W60" s="27" t="str">
        <x:v>PDF 1頁、令和4～7年度の該当専攻行</x:v>
      </x:c>
      <x:c r="X60" s="27" t="str">
        <x:v>https://www.k.u-tokyo.ac.jp/assets/files/2026result_mc.pdf</x:v>
      </x:c>
      <x:c r="Y60" s="27" t="str">
        <x:v>専攻単位。メディカル情報生命専攻のみ、同一募集人員53の下にある3群の出願者・合格者を合算。</x:v>
      </x:c>
      <x:c r="Z60" s="47" t="str">
        <x:v>括弧内外国人数は内数。</x:v>
      </x:c>
    </x:row>
    <x:row r="61" ht="38" customHeight="1">
      <x:c r="A61" s="2" t="str">
        <x:v>東京大学</x:v>
      </x:c>
      <x:c r="B61" s="2" t="str">
        <x:v>新領域創成科学研究科</x:v>
      </x:c>
      <x:c r="C61" s="2" t="str">
        <x:v>海洋技術環境学専攻</x:v>
      </x:c>
      <x:c r="D61" s="44" t="n">
        <x:v>2024</x:v>
      </x:c>
      <x:c r="E61" s="27" t="str">
        <x:v>全年合计（入試日程Bの翌10月入学希望者を含む）</x:v>
      </x:c>
      <x:c r="F61" s="27" t="str">
        <x:v>修士課程</x:v>
      </x:c>
      <x:c r="G61" s="27" t="str">
        <x:v>全类别合计</x:v>
      </x:c>
      <x:c r="H61" s="27" t="str">
        <x:v>专攻/系</x:v>
      </x:c>
      <x:c r="I61" s="44" t="n">
        <x:v>18</x:v>
      </x:c>
      <x:c r="J61" s="44" t="n">
        <x:v>55</x:v>
      </x:c>
      <x:c r="K61" s="44"/>
      <x:c r="L61" s="44" t="n">
        <x:v>27</x:v>
      </x:c>
      <x:c r="M61" s="44"/>
      <x:c r="N61" s="45" t="n">
        <x:f>IF(AND(J61&lt;&gt;"",L61&lt;&gt;0),J61/L61,"")</x:f>
        <x:v>2.037037037037037</x:v>
      </x:c>
      <x:c r="O61" s="45" t="str">
        <x:f>IF(AND(K61&lt;&gt;"",L61&lt;&gt;0),K61/L61,"")</x:f>
      </x:c>
      <x:c r="P61" s="46" t="str">
        <x:f>IF(AND(K61&lt;&gt;"",K61&lt;&gt;0,L61&lt;&gt;""),L61/K61,"")</x:f>
      </x:c>
      <x:c r="Q61" s="46" t="str">
        <x:f>IF(AND(L61&lt;&gt;"",L61&lt;&gt;0,M61&lt;&gt;""),M61/L61,"")</x:f>
      </x:c>
      <x:c r="R61" s="45" t="n">
        <x:f>IF(N61&lt;&gt;"",N61,IF(O61&lt;&gt;"",O61,""))</x:f>
        <x:v>2.037037037037037</x:v>
      </x:c>
      <x:c r="S61" s="2" t="str">
        <x:f>IF(N61&lt;&gt;"","志愿/合格",IF(O61&lt;&gt;"","受验/合格",""))</x:f>
        <x:v>志愿/合格</x:v>
      </x:c>
      <x:c r="T61" s="2" t="str">
        <x:v>官方</x:v>
      </x:c>
      <x:c r="U61" s="2" t="str">
        <x:v>高</x:v>
      </x:c>
      <x:c r="V61" s="27" t="str">
        <x:v>入試実施状況について＜修士課程＞</x:v>
      </x:c>
      <x:c r="W61" s="27" t="str">
        <x:v>PDF 1頁、令和4～7年度の該当専攻行</x:v>
      </x:c>
      <x:c r="X61" s="27" t="str">
        <x:v>https://www.k.u-tokyo.ac.jp/assets/files/2026result_mc.pdf</x:v>
      </x:c>
      <x:c r="Y61" s="27" t="str">
        <x:v>専攻単位。メディカル情報生命専攻のみ、同一募集人員53の下にある3群の出願者・合格者を合算。</x:v>
      </x:c>
      <x:c r="Z61" s="47" t="str">
        <x:v>括弧内外国人数は内数。</x:v>
      </x:c>
    </x:row>
    <x:row r="62" ht="38" customHeight="1">
      <x:c r="A62" s="2" t="str">
        <x:v>東京大学</x:v>
      </x:c>
      <x:c r="B62" s="2" t="str">
        <x:v>新領域創成科学研究科</x:v>
      </x:c>
      <x:c r="C62" s="2" t="str">
        <x:v>海洋技術環境学専攻</x:v>
      </x:c>
      <x:c r="D62" s="44" t="n">
        <x:v>2025</x:v>
      </x:c>
      <x:c r="E62" s="27" t="str">
        <x:v>全年合计（入試日程Bの翌10月入学希望者を含む）</x:v>
      </x:c>
      <x:c r="F62" s="27" t="str">
        <x:v>修士課程</x:v>
      </x:c>
      <x:c r="G62" s="27" t="str">
        <x:v>全类别合计</x:v>
      </x:c>
      <x:c r="H62" s="27" t="str">
        <x:v>专攻/系</x:v>
      </x:c>
      <x:c r="I62" s="44" t="n">
        <x:v>18</x:v>
      </x:c>
      <x:c r="J62" s="44" t="n">
        <x:v>48</x:v>
      </x:c>
      <x:c r="K62" s="44"/>
      <x:c r="L62" s="44" t="n">
        <x:v>23</x:v>
      </x:c>
      <x:c r="M62" s="44"/>
      <x:c r="N62" s="45" t="n">
        <x:f>IF(AND(J62&lt;&gt;"",L62&lt;&gt;0),J62/L62,"")</x:f>
        <x:v>2.0869565217391304</x:v>
      </x:c>
      <x:c r="O62" s="45" t="str">
        <x:f>IF(AND(K62&lt;&gt;"",L62&lt;&gt;0),K62/L62,"")</x:f>
      </x:c>
      <x:c r="P62" s="46" t="str">
        <x:f>IF(AND(K62&lt;&gt;"",K62&lt;&gt;0,L62&lt;&gt;""),L62/K62,"")</x:f>
      </x:c>
      <x:c r="Q62" s="46" t="str">
        <x:f>IF(AND(L62&lt;&gt;"",L62&lt;&gt;0,M62&lt;&gt;""),M62/L62,"")</x:f>
      </x:c>
      <x:c r="R62" s="45" t="n">
        <x:f>IF(N62&lt;&gt;"",N62,IF(O62&lt;&gt;"",O62,""))</x:f>
        <x:v>2.0869565217391304</x:v>
      </x:c>
      <x:c r="S62" s="2" t="str">
        <x:f>IF(N62&lt;&gt;"","志愿/合格",IF(O62&lt;&gt;"","受验/合格",""))</x:f>
        <x:v>志愿/合格</x:v>
      </x:c>
      <x:c r="T62" s="2" t="str">
        <x:v>官方</x:v>
      </x:c>
      <x:c r="U62" s="2" t="str">
        <x:v>高</x:v>
      </x:c>
      <x:c r="V62" s="27" t="str">
        <x:v>入試実施状況について＜修士課程＞</x:v>
      </x:c>
      <x:c r="W62" s="27" t="str">
        <x:v>PDF 1頁、令和4～7年度の該当専攻行</x:v>
      </x:c>
      <x:c r="X62" s="27" t="str">
        <x:v>https://www.k.u-tokyo.ac.jp/assets/files/2026result_mc.pdf</x:v>
      </x:c>
      <x:c r="Y62" s="27" t="str">
        <x:v>専攻単位。メディカル情報生命専攻のみ、同一募集人員53の下にある3群の出願者・合格者を合算。</x:v>
      </x:c>
      <x:c r="Z62" s="47" t="str">
        <x:v>括弧内外国人数は内数。</x:v>
      </x:c>
    </x:row>
    <x:row r="63" ht="38" customHeight="1">
      <x:c r="A63" s="2" t="str">
        <x:v>東京大学</x:v>
      </x:c>
      <x:c r="B63" s="2" t="str">
        <x:v>新領域創成科学研究科</x:v>
      </x:c>
      <x:c r="C63" s="2" t="str">
        <x:v>人間環境学専攻</x:v>
      </x:c>
      <x:c r="D63" s="44" t="n">
        <x:v>2022</x:v>
      </x:c>
      <x:c r="E63" s="27" t="str">
        <x:v>全年合计（入試日程Bの翌10月入学希望者を含む）</x:v>
      </x:c>
      <x:c r="F63" s="27" t="str">
        <x:v>修士課程</x:v>
      </x:c>
      <x:c r="G63" s="27" t="str">
        <x:v>全类别合计</x:v>
      </x:c>
      <x:c r="H63" s="27" t="str">
        <x:v>专攻/系</x:v>
      </x:c>
      <x:c r="I63" s="44" t="n">
        <x:v>38</x:v>
      </x:c>
      <x:c r="J63" s="44" t="n">
        <x:v>113</x:v>
      </x:c>
      <x:c r="K63" s="44"/>
      <x:c r="L63" s="44" t="n">
        <x:v>61</x:v>
      </x:c>
      <x:c r="M63" s="44"/>
      <x:c r="N63" s="45" t="n">
        <x:f>IF(AND(J63&lt;&gt;"",L63&lt;&gt;0),J63/L63,"")</x:f>
        <x:v>1.8524590163934427</x:v>
      </x:c>
      <x:c r="O63" s="45" t="str">
        <x:f>IF(AND(K63&lt;&gt;"",L63&lt;&gt;0),K63/L63,"")</x:f>
      </x:c>
      <x:c r="P63" s="46" t="str">
        <x:f>IF(AND(K63&lt;&gt;"",K63&lt;&gt;0,L63&lt;&gt;""),L63/K63,"")</x:f>
      </x:c>
      <x:c r="Q63" s="46" t="str">
        <x:f>IF(AND(L63&lt;&gt;"",L63&lt;&gt;0,M63&lt;&gt;""),M63/L63,"")</x:f>
      </x:c>
      <x:c r="R63" s="45" t="n">
        <x:f>IF(N63&lt;&gt;"",N63,IF(O63&lt;&gt;"",O63,""))</x:f>
        <x:v>1.8524590163934427</x:v>
      </x:c>
      <x:c r="S63" s="2" t="str">
        <x:f>IF(N63&lt;&gt;"","志愿/合格",IF(O63&lt;&gt;"","受验/合格",""))</x:f>
        <x:v>志愿/合格</x:v>
      </x:c>
      <x:c r="T63" s="2" t="str">
        <x:v>官方</x:v>
      </x:c>
      <x:c r="U63" s="2" t="str">
        <x:v>高</x:v>
      </x:c>
      <x:c r="V63" s="27" t="str">
        <x:v>入試実施状況について＜修士課程＞</x:v>
      </x:c>
      <x:c r="W63" s="27" t="str">
        <x:v>PDF 1頁、令和4～7年度の該当専攻行</x:v>
      </x:c>
      <x:c r="X63" s="27" t="str">
        <x:v>https://www.k.u-tokyo.ac.jp/assets/files/2026result_mc.pdf</x:v>
      </x:c>
      <x:c r="Y63" s="27" t="str">
        <x:v>専攻単位。メディカル情報生命専攻のみ、同一募集人員53の下にある3群の出願者・合格者を合算。</x:v>
      </x:c>
      <x:c r="Z63" s="47" t="str">
        <x:v>括弧内外国人数は内数。</x:v>
      </x:c>
    </x:row>
    <x:row r="64" ht="38" customHeight="1">
      <x:c r="A64" s="2" t="str">
        <x:v>東京大学</x:v>
      </x:c>
      <x:c r="B64" s="2" t="str">
        <x:v>新領域創成科学研究科</x:v>
      </x:c>
      <x:c r="C64" s="2" t="str">
        <x:v>人間環境学専攻</x:v>
      </x:c>
      <x:c r="D64" s="44" t="n">
        <x:v>2023</x:v>
      </x:c>
      <x:c r="E64" s="27" t="str">
        <x:v>全年合计（入試日程Bの翌10月入学希望者を含む）</x:v>
      </x:c>
      <x:c r="F64" s="27" t="str">
        <x:v>修士課程</x:v>
      </x:c>
      <x:c r="G64" s="27" t="str">
        <x:v>全类别合计</x:v>
      </x:c>
      <x:c r="H64" s="27" t="str">
        <x:v>专攻/系</x:v>
      </x:c>
      <x:c r="I64" s="44" t="n">
        <x:v>38</x:v>
      </x:c>
      <x:c r="J64" s="44" t="n">
        <x:v>126</x:v>
      </x:c>
      <x:c r="K64" s="44"/>
      <x:c r="L64" s="44" t="n">
        <x:v>53</x:v>
      </x:c>
      <x:c r="M64" s="44"/>
      <x:c r="N64" s="45" t="n">
        <x:f>IF(AND(J64&lt;&gt;"",L64&lt;&gt;0),J64/L64,"")</x:f>
        <x:v>2.3773584905660377</x:v>
      </x:c>
      <x:c r="O64" s="45" t="str">
        <x:f>IF(AND(K64&lt;&gt;"",L64&lt;&gt;0),K64/L64,"")</x:f>
      </x:c>
      <x:c r="P64" s="46" t="str">
        <x:f>IF(AND(K64&lt;&gt;"",K64&lt;&gt;0,L64&lt;&gt;""),L64/K64,"")</x:f>
      </x:c>
      <x:c r="Q64" s="46" t="str">
        <x:f>IF(AND(L64&lt;&gt;"",L64&lt;&gt;0,M64&lt;&gt;""),M64/L64,"")</x:f>
      </x:c>
      <x:c r="R64" s="45" t="n">
        <x:f>IF(N64&lt;&gt;"",N64,IF(O64&lt;&gt;"",O64,""))</x:f>
        <x:v>2.3773584905660377</x:v>
      </x:c>
      <x:c r="S64" s="2" t="str">
        <x:f>IF(N64&lt;&gt;"","志愿/合格",IF(O64&lt;&gt;"","受验/合格",""))</x:f>
        <x:v>志愿/合格</x:v>
      </x:c>
      <x:c r="T64" s="2" t="str">
        <x:v>官方</x:v>
      </x:c>
      <x:c r="U64" s="2" t="str">
        <x:v>高</x:v>
      </x:c>
      <x:c r="V64" s="27" t="str">
        <x:v>入試実施状況について＜修士課程＞</x:v>
      </x:c>
      <x:c r="W64" s="27" t="str">
        <x:v>PDF 1頁、令和4～7年度の該当専攻行</x:v>
      </x:c>
      <x:c r="X64" s="27" t="str">
        <x:v>https://www.k.u-tokyo.ac.jp/assets/files/2026result_mc.pdf</x:v>
      </x:c>
      <x:c r="Y64" s="27" t="str">
        <x:v>専攻単位。メディカル情報生命専攻のみ、同一募集人員53の下にある3群の出願者・合格者を合算。</x:v>
      </x:c>
      <x:c r="Z64" s="47" t="str">
        <x:v>括弧内外国人数は内数。</x:v>
      </x:c>
    </x:row>
    <x:row r="65" ht="38" customHeight="1">
      <x:c r="A65" s="2" t="str">
        <x:v>東京大学</x:v>
      </x:c>
      <x:c r="B65" s="2" t="str">
        <x:v>新領域創成科学研究科</x:v>
      </x:c>
      <x:c r="C65" s="2" t="str">
        <x:v>人間環境学専攻</x:v>
      </x:c>
      <x:c r="D65" s="44" t="n">
        <x:v>2024</x:v>
      </x:c>
      <x:c r="E65" s="27" t="str">
        <x:v>全年合计（入試日程Bの翌10月入学希望者を含む）</x:v>
      </x:c>
      <x:c r="F65" s="27" t="str">
        <x:v>修士課程</x:v>
      </x:c>
      <x:c r="G65" s="27" t="str">
        <x:v>全类别合计</x:v>
      </x:c>
      <x:c r="H65" s="27" t="str">
        <x:v>专攻/系</x:v>
      </x:c>
      <x:c r="I65" s="44" t="n">
        <x:v>38</x:v>
      </x:c>
      <x:c r="J65" s="44" t="n">
        <x:v>140</x:v>
      </x:c>
      <x:c r="K65" s="44"/>
      <x:c r="L65" s="44" t="n">
        <x:v>51</x:v>
      </x:c>
      <x:c r="M65" s="44"/>
      <x:c r="N65" s="45" t="n">
        <x:f>IF(AND(J65&lt;&gt;"",L65&lt;&gt;0),J65/L65,"")</x:f>
        <x:v>2.7450980392156863</x:v>
      </x:c>
      <x:c r="O65" s="45" t="str">
        <x:f>IF(AND(K65&lt;&gt;"",L65&lt;&gt;0),K65/L65,"")</x:f>
      </x:c>
      <x:c r="P65" s="46" t="str">
        <x:f>IF(AND(K65&lt;&gt;"",K65&lt;&gt;0,L65&lt;&gt;""),L65/K65,"")</x:f>
      </x:c>
      <x:c r="Q65" s="46" t="str">
        <x:f>IF(AND(L65&lt;&gt;"",L65&lt;&gt;0,M65&lt;&gt;""),M65/L65,"")</x:f>
      </x:c>
      <x:c r="R65" s="45" t="n">
        <x:f>IF(N65&lt;&gt;"",N65,IF(O65&lt;&gt;"",O65,""))</x:f>
        <x:v>2.7450980392156863</x:v>
      </x:c>
      <x:c r="S65" s="2" t="str">
        <x:f>IF(N65&lt;&gt;"","志愿/合格",IF(O65&lt;&gt;"","受验/合格",""))</x:f>
        <x:v>志愿/合格</x:v>
      </x:c>
      <x:c r="T65" s="2" t="str">
        <x:v>官方</x:v>
      </x:c>
      <x:c r="U65" s="2" t="str">
        <x:v>高</x:v>
      </x:c>
      <x:c r="V65" s="27" t="str">
        <x:v>入試実施状況について＜修士課程＞</x:v>
      </x:c>
      <x:c r="W65" s="27" t="str">
        <x:v>PDF 1頁、令和4～7年度の該当専攻行</x:v>
      </x:c>
      <x:c r="X65" s="27" t="str">
        <x:v>https://www.k.u-tokyo.ac.jp/assets/files/2026result_mc.pdf</x:v>
      </x:c>
      <x:c r="Y65" s="27" t="str">
        <x:v>専攻単位。メディカル情報生命専攻のみ、同一募集人員53の下にある3群の出願者・合格者を合算。</x:v>
      </x:c>
      <x:c r="Z65" s="47" t="str">
        <x:v>括弧内外国人数は内数。</x:v>
      </x:c>
    </x:row>
    <x:row r="66" ht="38" customHeight="1">
      <x:c r="A66" s="2" t="str">
        <x:v>東京大学</x:v>
      </x:c>
      <x:c r="B66" s="2" t="str">
        <x:v>新領域創成科学研究科</x:v>
      </x:c>
      <x:c r="C66" s="2" t="str">
        <x:v>人間環境学専攻</x:v>
      </x:c>
      <x:c r="D66" s="44" t="n">
        <x:v>2025</x:v>
      </x:c>
      <x:c r="E66" s="27" t="str">
        <x:v>全年合计（入試日程Bの翌10月入学希望者を含む）</x:v>
      </x:c>
      <x:c r="F66" s="27" t="str">
        <x:v>修士課程</x:v>
      </x:c>
      <x:c r="G66" s="27" t="str">
        <x:v>全类别合计</x:v>
      </x:c>
      <x:c r="H66" s="27" t="str">
        <x:v>专攻/系</x:v>
      </x:c>
      <x:c r="I66" s="44" t="n">
        <x:v>38</x:v>
      </x:c>
      <x:c r="J66" s="44" t="n">
        <x:v>121</x:v>
      </x:c>
      <x:c r="K66" s="44"/>
      <x:c r="L66" s="44" t="n">
        <x:v>53</x:v>
      </x:c>
      <x:c r="M66" s="44"/>
      <x:c r="N66" s="45" t="n">
        <x:f>IF(AND(J66&lt;&gt;"",L66&lt;&gt;0),J66/L66,"")</x:f>
        <x:v>2.2830188679245285</x:v>
      </x:c>
      <x:c r="O66" s="45" t="str">
        <x:f>IF(AND(K66&lt;&gt;"",L66&lt;&gt;0),K66/L66,"")</x:f>
      </x:c>
      <x:c r="P66" s="46" t="str">
        <x:f>IF(AND(K66&lt;&gt;"",K66&lt;&gt;0,L66&lt;&gt;""),L66/K66,"")</x:f>
      </x:c>
      <x:c r="Q66" s="46" t="str">
        <x:f>IF(AND(L66&lt;&gt;"",L66&lt;&gt;0,M66&lt;&gt;""),M66/L66,"")</x:f>
      </x:c>
      <x:c r="R66" s="45" t="n">
        <x:f>IF(N66&lt;&gt;"",N66,IF(O66&lt;&gt;"",O66,""))</x:f>
        <x:v>2.2830188679245285</x:v>
      </x:c>
      <x:c r="S66" s="2" t="str">
        <x:f>IF(N66&lt;&gt;"","志愿/合格",IF(O66&lt;&gt;"","受验/合格",""))</x:f>
        <x:v>志愿/合格</x:v>
      </x:c>
      <x:c r="T66" s="2" t="str">
        <x:v>官方</x:v>
      </x:c>
      <x:c r="U66" s="2" t="str">
        <x:v>高</x:v>
      </x:c>
      <x:c r="V66" s="27" t="str">
        <x:v>入試実施状況について＜修士課程＞</x:v>
      </x:c>
      <x:c r="W66" s="27" t="str">
        <x:v>PDF 1頁、令和4～7年度の該当専攻行</x:v>
      </x:c>
      <x:c r="X66" s="27" t="str">
        <x:v>https://www.k.u-tokyo.ac.jp/assets/files/2026result_mc.pdf</x:v>
      </x:c>
      <x:c r="Y66" s="27" t="str">
        <x:v>専攻単位。メディカル情報生命専攻のみ、同一募集人員53の下にある3群の出願者・合格者を合算。</x:v>
      </x:c>
      <x:c r="Z66" s="47" t="str">
        <x:v>括弧内外国人数は内数。</x:v>
      </x:c>
    </x:row>
    <x:row r="67" ht="38" customHeight="1">
      <x:c r="A67" s="2" t="str">
        <x:v>東京大学</x:v>
      </x:c>
      <x:c r="B67" s="2" t="str">
        <x:v>新領域創成科学研究科</x:v>
      </x:c>
      <x:c r="C67" s="2" t="str">
        <x:v>複雑理工学専攻</x:v>
      </x:c>
      <x:c r="D67" s="44" t="n">
        <x:v>2022</x:v>
      </x:c>
      <x:c r="E67" s="27" t="str">
        <x:v>全年合计（入試日程Bの翌10月入学希望者を含む）</x:v>
      </x:c>
      <x:c r="F67" s="27" t="str">
        <x:v>修士課程</x:v>
      </x:c>
      <x:c r="G67" s="27" t="str">
        <x:v>全类别合计</x:v>
      </x:c>
      <x:c r="H67" s="27" t="str">
        <x:v>专攻/系</x:v>
      </x:c>
      <x:c r="I67" s="44" t="n">
        <x:v>25</x:v>
      </x:c>
      <x:c r="J67" s="44" t="n">
        <x:v>103</x:v>
      </x:c>
      <x:c r="K67" s="44"/>
      <x:c r="L67" s="44" t="n">
        <x:v>41</x:v>
      </x:c>
      <x:c r="M67" s="44"/>
      <x:c r="N67" s="45" t="n">
        <x:f>IF(AND(J67&lt;&gt;"",L67&lt;&gt;0),J67/L67,"")</x:f>
        <x:v>2.5121951219512195</x:v>
      </x:c>
      <x:c r="O67" s="45" t="str">
        <x:f>IF(AND(K67&lt;&gt;"",L67&lt;&gt;0),K67/L67,"")</x:f>
      </x:c>
      <x:c r="P67" s="46" t="str">
        <x:f>IF(AND(K67&lt;&gt;"",K67&lt;&gt;0,L67&lt;&gt;""),L67/K67,"")</x:f>
      </x:c>
      <x:c r="Q67" s="46" t="str">
        <x:f>IF(AND(L67&lt;&gt;"",L67&lt;&gt;0,M67&lt;&gt;""),M67/L67,"")</x:f>
      </x:c>
      <x:c r="R67" s="45" t="n">
        <x:f>IF(N67&lt;&gt;"",N67,IF(O67&lt;&gt;"",O67,""))</x:f>
        <x:v>2.5121951219512195</x:v>
      </x:c>
      <x:c r="S67" s="2" t="str">
        <x:f>IF(N67&lt;&gt;"","志愿/合格",IF(O67&lt;&gt;"","受验/合格",""))</x:f>
        <x:v>志愿/合格</x:v>
      </x:c>
      <x:c r="T67" s="2" t="str">
        <x:v>官方</x:v>
      </x:c>
      <x:c r="U67" s="2" t="str">
        <x:v>高</x:v>
      </x:c>
      <x:c r="V67" s="27" t="str">
        <x:v>入試実施状況について＜修士課程＞</x:v>
      </x:c>
      <x:c r="W67" s="27" t="str">
        <x:v>PDF 1頁、令和4～7年度の該当専攻行</x:v>
      </x:c>
      <x:c r="X67" s="27" t="str">
        <x:v>https://www.k.u-tokyo.ac.jp/assets/files/2026result_mc.pdf</x:v>
      </x:c>
      <x:c r="Y67" s="27" t="str">
        <x:v>専攻単位。メディカル情報生命専攻のみ、同一募集人員53の下にある3群の出願者・合格者を合算。</x:v>
      </x:c>
      <x:c r="Z67" s="47" t="str">
        <x:v>括弧内外国人数は内数。</x:v>
      </x:c>
    </x:row>
    <x:row r="68" ht="38" customHeight="1">
      <x:c r="A68" s="2" t="str">
        <x:v>東京大学</x:v>
      </x:c>
      <x:c r="B68" s="2" t="str">
        <x:v>新領域創成科学研究科</x:v>
      </x:c>
      <x:c r="C68" s="2" t="str">
        <x:v>複雑理工学専攻</x:v>
      </x:c>
      <x:c r="D68" s="44" t="n">
        <x:v>2023</x:v>
      </x:c>
      <x:c r="E68" s="27" t="str">
        <x:v>全年合计（入試日程Bの翌10月入学希望者を含む）</x:v>
      </x:c>
      <x:c r="F68" s="27" t="str">
        <x:v>修士課程</x:v>
      </x:c>
      <x:c r="G68" s="27" t="str">
        <x:v>全类别合计</x:v>
      </x:c>
      <x:c r="H68" s="27" t="str">
        <x:v>专攻/系</x:v>
      </x:c>
      <x:c r="I68" s="44" t="n">
        <x:v>25</x:v>
      </x:c>
      <x:c r="J68" s="44" t="n">
        <x:v>83</x:v>
      </x:c>
      <x:c r="K68" s="44"/>
      <x:c r="L68" s="44" t="n">
        <x:v>39</x:v>
      </x:c>
      <x:c r="M68" s="44"/>
      <x:c r="N68" s="45" t="n">
        <x:f>IF(AND(J68&lt;&gt;"",L68&lt;&gt;0),J68/L68,"")</x:f>
        <x:v>2.128205128205128</x:v>
      </x:c>
      <x:c r="O68" s="45" t="str">
        <x:f>IF(AND(K68&lt;&gt;"",L68&lt;&gt;0),K68/L68,"")</x:f>
      </x:c>
      <x:c r="P68" s="46" t="str">
        <x:f>IF(AND(K68&lt;&gt;"",K68&lt;&gt;0,L68&lt;&gt;""),L68/K68,"")</x:f>
      </x:c>
      <x:c r="Q68" s="46" t="str">
        <x:f>IF(AND(L68&lt;&gt;"",L68&lt;&gt;0,M68&lt;&gt;""),M68/L68,"")</x:f>
      </x:c>
      <x:c r="R68" s="45" t="n">
        <x:f>IF(N68&lt;&gt;"",N68,IF(O68&lt;&gt;"",O68,""))</x:f>
        <x:v>2.128205128205128</x:v>
      </x:c>
      <x:c r="S68" s="2" t="str">
        <x:f>IF(N68&lt;&gt;"","志愿/合格",IF(O68&lt;&gt;"","受验/合格",""))</x:f>
        <x:v>志愿/合格</x:v>
      </x:c>
      <x:c r="T68" s="2" t="str">
        <x:v>官方</x:v>
      </x:c>
      <x:c r="U68" s="2" t="str">
        <x:v>高</x:v>
      </x:c>
      <x:c r="V68" s="27" t="str">
        <x:v>入試実施状況について＜修士課程＞</x:v>
      </x:c>
      <x:c r="W68" s="27" t="str">
        <x:v>PDF 1頁、令和4～7年度の該当専攻行</x:v>
      </x:c>
      <x:c r="X68" s="27" t="str">
        <x:v>https://www.k.u-tokyo.ac.jp/assets/files/2026result_mc.pdf</x:v>
      </x:c>
      <x:c r="Y68" s="27" t="str">
        <x:v>専攻単位。メディカル情報生命専攻のみ、同一募集人員53の下にある3群の出願者・合格者を合算。</x:v>
      </x:c>
      <x:c r="Z68" s="47" t="str">
        <x:v>括弧内外国人数は内数。</x:v>
      </x:c>
    </x:row>
    <x:row r="69" ht="38" customHeight="1">
      <x:c r="A69" s="2" t="str">
        <x:v>東京大学</x:v>
      </x:c>
      <x:c r="B69" s="2" t="str">
        <x:v>新領域創成科学研究科</x:v>
      </x:c>
      <x:c r="C69" s="2" t="str">
        <x:v>複雑理工学専攻</x:v>
      </x:c>
      <x:c r="D69" s="44" t="n">
        <x:v>2024</x:v>
      </x:c>
      <x:c r="E69" s="27" t="str">
        <x:v>全年合计（入試日程Bの翌10月入学希望者を含む）</x:v>
      </x:c>
      <x:c r="F69" s="27" t="str">
        <x:v>修士課程</x:v>
      </x:c>
      <x:c r="G69" s="27" t="str">
        <x:v>全类别合计</x:v>
      </x:c>
      <x:c r="H69" s="27" t="str">
        <x:v>专攻/系</x:v>
      </x:c>
      <x:c r="I69" s="44" t="n">
        <x:v>25</x:v>
      </x:c>
      <x:c r="J69" s="44" t="n">
        <x:v>78</x:v>
      </x:c>
      <x:c r="K69" s="44"/>
      <x:c r="L69" s="44" t="n">
        <x:v>37</x:v>
      </x:c>
      <x:c r="M69" s="44"/>
      <x:c r="N69" s="45" t="n">
        <x:f>IF(AND(J69&lt;&gt;"",L69&lt;&gt;0),J69/L69,"")</x:f>
        <x:v>2.108108108108108</x:v>
      </x:c>
      <x:c r="O69" s="45" t="str">
        <x:f>IF(AND(K69&lt;&gt;"",L69&lt;&gt;0),K69/L69,"")</x:f>
      </x:c>
      <x:c r="P69" s="46" t="str">
        <x:f>IF(AND(K69&lt;&gt;"",K69&lt;&gt;0,L69&lt;&gt;""),L69/K69,"")</x:f>
      </x:c>
      <x:c r="Q69" s="46" t="str">
        <x:f>IF(AND(L69&lt;&gt;"",L69&lt;&gt;0,M69&lt;&gt;""),M69/L69,"")</x:f>
      </x:c>
      <x:c r="R69" s="45" t="n">
        <x:f>IF(N69&lt;&gt;"",N69,IF(O69&lt;&gt;"",O69,""))</x:f>
        <x:v>2.108108108108108</x:v>
      </x:c>
      <x:c r="S69" s="2" t="str">
        <x:f>IF(N69&lt;&gt;"","志愿/合格",IF(O69&lt;&gt;"","受验/合格",""))</x:f>
        <x:v>志愿/合格</x:v>
      </x:c>
      <x:c r="T69" s="2" t="str">
        <x:v>官方</x:v>
      </x:c>
      <x:c r="U69" s="2" t="str">
        <x:v>高</x:v>
      </x:c>
      <x:c r="V69" s="27" t="str">
        <x:v>入試実施状況について＜修士課程＞</x:v>
      </x:c>
      <x:c r="W69" s="27" t="str">
        <x:v>PDF 1頁、令和4～7年度の該当専攻行</x:v>
      </x:c>
      <x:c r="X69" s="27" t="str">
        <x:v>https://www.k.u-tokyo.ac.jp/assets/files/2026result_mc.pdf</x:v>
      </x:c>
      <x:c r="Y69" s="27" t="str">
        <x:v>専攻単位。メディカル情報生命専攻のみ、同一募集人員53の下にある3群の出願者・合格者を合算。</x:v>
      </x:c>
      <x:c r="Z69" s="47" t="str">
        <x:v>括弧内外国人数は内数。</x:v>
      </x:c>
    </x:row>
    <x:row r="70" ht="38" customHeight="1">
      <x:c r="A70" s="2" t="str">
        <x:v>東京大学</x:v>
      </x:c>
      <x:c r="B70" s="2" t="str">
        <x:v>新領域創成科学研究科</x:v>
      </x:c>
      <x:c r="C70" s="2" t="str">
        <x:v>複雑理工学専攻</x:v>
      </x:c>
      <x:c r="D70" s="44" t="n">
        <x:v>2025</x:v>
      </x:c>
      <x:c r="E70" s="27" t="str">
        <x:v>全年合计（入試日程Bの翌10月入学希望者を含む）</x:v>
      </x:c>
      <x:c r="F70" s="27" t="str">
        <x:v>修士課程</x:v>
      </x:c>
      <x:c r="G70" s="27" t="str">
        <x:v>全类别合计</x:v>
      </x:c>
      <x:c r="H70" s="27" t="str">
        <x:v>专攻/系</x:v>
      </x:c>
      <x:c r="I70" s="44" t="n">
        <x:v>25</x:v>
      </x:c>
      <x:c r="J70" s="44" t="n">
        <x:v>140</x:v>
      </x:c>
      <x:c r="K70" s="44"/>
      <x:c r="L70" s="44" t="n">
        <x:v>45</x:v>
      </x:c>
      <x:c r="M70" s="44"/>
      <x:c r="N70" s="45" t="n">
        <x:f>IF(AND(J70&lt;&gt;"",L70&lt;&gt;0),J70/L70,"")</x:f>
        <x:v>3.111111111111111</x:v>
      </x:c>
      <x:c r="O70" s="45" t="str">
        <x:f>IF(AND(K70&lt;&gt;"",L70&lt;&gt;0),K70/L70,"")</x:f>
      </x:c>
      <x:c r="P70" s="46" t="str">
        <x:f>IF(AND(K70&lt;&gt;"",K70&lt;&gt;0,L70&lt;&gt;""),L70/K70,"")</x:f>
      </x:c>
      <x:c r="Q70" s="46" t="str">
        <x:f>IF(AND(L70&lt;&gt;"",L70&lt;&gt;0,M70&lt;&gt;""),M70/L70,"")</x:f>
      </x:c>
      <x:c r="R70" s="45" t="n">
        <x:f>IF(N70&lt;&gt;"",N70,IF(O70&lt;&gt;"",O70,""))</x:f>
        <x:v>3.111111111111111</x:v>
      </x:c>
      <x:c r="S70" s="2" t="str">
        <x:f>IF(N70&lt;&gt;"","志愿/合格",IF(O70&lt;&gt;"","受验/合格",""))</x:f>
        <x:v>志愿/合格</x:v>
      </x:c>
      <x:c r="T70" s="2" t="str">
        <x:v>官方</x:v>
      </x:c>
      <x:c r="U70" s="2" t="str">
        <x:v>高</x:v>
      </x:c>
      <x:c r="V70" s="27" t="str">
        <x:v>入試実施状況について＜修士課程＞</x:v>
      </x:c>
      <x:c r="W70" s="27" t="str">
        <x:v>PDF 1頁、令和4～7年度の該当専攻行</x:v>
      </x:c>
      <x:c r="X70" s="27" t="str">
        <x:v>https://www.k.u-tokyo.ac.jp/assets/files/2026result_mc.pdf</x:v>
      </x:c>
      <x:c r="Y70" s="27" t="str">
        <x:v>専攻単位。メディカル情報生命専攻のみ、同一募集人員53の下にある3群の出願者・合格者を合算。</x:v>
      </x:c>
      <x:c r="Z70" s="47" t="str">
        <x:v>括弧内外国人数は内数。</x:v>
      </x:c>
    </x:row>
    <x:row r="71" ht="38" customHeight="1">
      <x:c r="A71" s="2" t="str">
        <x:v>東京大学</x:v>
      </x:c>
      <x:c r="B71" s="2" t="str">
        <x:v>新領域創成科学研究科</x:v>
      </x:c>
      <x:c r="C71" s="2" t="str">
        <x:v>物質系専攻</x:v>
      </x:c>
      <x:c r="D71" s="44" t="n">
        <x:v>2022</x:v>
      </x:c>
      <x:c r="E71" s="27" t="str">
        <x:v>全年合计（入試日程Bの翌10月入学希望者を含む）</x:v>
      </x:c>
      <x:c r="F71" s="27" t="str">
        <x:v>修士課程</x:v>
      </x:c>
      <x:c r="G71" s="27" t="str">
        <x:v>全类别合计</x:v>
      </x:c>
      <x:c r="H71" s="27" t="str">
        <x:v>专攻/系</x:v>
      </x:c>
      <x:c r="I71" s="44" t="n">
        <x:v>38</x:v>
      </x:c>
      <x:c r="J71" s="44" t="n">
        <x:v>78</x:v>
      </x:c>
      <x:c r="K71" s="44"/>
      <x:c r="L71" s="44" t="n">
        <x:v>59</x:v>
      </x:c>
      <x:c r="M71" s="44"/>
      <x:c r="N71" s="45" t="n">
        <x:f>IF(AND(J71&lt;&gt;"",L71&lt;&gt;0),J71/L71,"")</x:f>
        <x:v>1.3220338983050848</x:v>
      </x:c>
      <x:c r="O71" s="45" t="str">
        <x:f>IF(AND(K71&lt;&gt;"",L71&lt;&gt;0),K71/L71,"")</x:f>
      </x:c>
      <x:c r="P71" s="46" t="str">
        <x:f>IF(AND(K71&lt;&gt;"",K71&lt;&gt;0,L71&lt;&gt;""),L71/K71,"")</x:f>
      </x:c>
      <x:c r="Q71" s="46" t="str">
        <x:f>IF(AND(L71&lt;&gt;"",L71&lt;&gt;0,M71&lt;&gt;""),M71/L71,"")</x:f>
      </x:c>
      <x:c r="R71" s="45" t="n">
        <x:f>IF(N71&lt;&gt;"",N71,IF(O71&lt;&gt;"",O71,""))</x:f>
        <x:v>1.3220338983050848</x:v>
      </x:c>
      <x:c r="S71" s="2" t="str">
        <x:f>IF(N71&lt;&gt;"","志愿/合格",IF(O71&lt;&gt;"","受验/合格",""))</x:f>
        <x:v>志愿/合格</x:v>
      </x:c>
      <x:c r="T71" s="2" t="str">
        <x:v>官方</x:v>
      </x:c>
      <x:c r="U71" s="2" t="str">
        <x:v>高</x:v>
      </x:c>
      <x:c r="V71" s="27" t="str">
        <x:v>入試実施状況について＜修士課程＞</x:v>
      </x:c>
      <x:c r="W71" s="27" t="str">
        <x:v>PDF 1頁、令和4～7年度の該当専攻行</x:v>
      </x:c>
      <x:c r="X71" s="27" t="str">
        <x:v>https://www.k.u-tokyo.ac.jp/assets/files/2026result_mc.pdf</x:v>
      </x:c>
      <x:c r="Y71" s="27" t="str">
        <x:v>専攻単位。メディカル情報生命専攻のみ、同一募集人員53の下にある3群の出願者・合格者を合算。</x:v>
      </x:c>
      <x:c r="Z71" s="47" t="str">
        <x:v>括弧内外国人数は内数。</x:v>
      </x:c>
    </x:row>
    <x:row r="72" ht="38" customHeight="1">
      <x:c r="A72" s="2" t="str">
        <x:v>東京大学</x:v>
      </x:c>
      <x:c r="B72" s="2" t="str">
        <x:v>新領域創成科学研究科</x:v>
      </x:c>
      <x:c r="C72" s="2" t="str">
        <x:v>物質系専攻</x:v>
      </x:c>
      <x:c r="D72" s="44" t="n">
        <x:v>2023</x:v>
      </x:c>
      <x:c r="E72" s="27" t="str">
        <x:v>全年合计（入試日程Bの翌10月入学希望者を含む）</x:v>
      </x:c>
      <x:c r="F72" s="27" t="str">
        <x:v>修士課程</x:v>
      </x:c>
      <x:c r="G72" s="27" t="str">
        <x:v>全类别合计</x:v>
      </x:c>
      <x:c r="H72" s="27" t="str">
        <x:v>专攻/系</x:v>
      </x:c>
      <x:c r="I72" s="44" t="n">
        <x:v>38</x:v>
      </x:c>
      <x:c r="J72" s="44" t="n">
        <x:v>71</x:v>
      </x:c>
      <x:c r="K72" s="44"/>
      <x:c r="L72" s="44" t="n">
        <x:v>51</x:v>
      </x:c>
      <x:c r="M72" s="44"/>
      <x:c r="N72" s="45" t="n">
        <x:f>IF(AND(J72&lt;&gt;"",L72&lt;&gt;0),J72/L72,"")</x:f>
        <x:v>1.392156862745098</x:v>
      </x:c>
      <x:c r="O72" s="45" t="str">
        <x:f>IF(AND(K72&lt;&gt;"",L72&lt;&gt;0),K72/L72,"")</x:f>
      </x:c>
      <x:c r="P72" s="46" t="str">
        <x:f>IF(AND(K72&lt;&gt;"",K72&lt;&gt;0,L72&lt;&gt;""),L72/K72,"")</x:f>
      </x:c>
      <x:c r="Q72" s="46" t="str">
        <x:f>IF(AND(L72&lt;&gt;"",L72&lt;&gt;0,M72&lt;&gt;""),M72/L72,"")</x:f>
      </x:c>
      <x:c r="R72" s="45" t="n">
        <x:f>IF(N72&lt;&gt;"",N72,IF(O72&lt;&gt;"",O72,""))</x:f>
        <x:v>1.392156862745098</x:v>
      </x:c>
      <x:c r="S72" s="2" t="str">
        <x:f>IF(N72&lt;&gt;"","志愿/合格",IF(O72&lt;&gt;"","受验/合格",""))</x:f>
        <x:v>志愿/合格</x:v>
      </x:c>
      <x:c r="T72" s="2" t="str">
        <x:v>官方</x:v>
      </x:c>
      <x:c r="U72" s="2" t="str">
        <x:v>高</x:v>
      </x:c>
      <x:c r="V72" s="27" t="str">
        <x:v>入試実施状況について＜修士課程＞</x:v>
      </x:c>
      <x:c r="W72" s="27" t="str">
        <x:v>PDF 1頁、令和4～7年度の該当専攻行</x:v>
      </x:c>
      <x:c r="X72" s="27" t="str">
        <x:v>https://www.k.u-tokyo.ac.jp/assets/files/2026result_mc.pdf</x:v>
      </x:c>
      <x:c r="Y72" s="27" t="str">
        <x:v>専攻単位。メディカル情報生命専攻のみ、同一募集人員53の下にある3群の出願者・合格者を合算。</x:v>
      </x:c>
      <x:c r="Z72" s="47" t="str">
        <x:v>括弧内外国人数は内数。</x:v>
      </x:c>
    </x:row>
    <x:row r="73" ht="38" customHeight="1">
      <x:c r="A73" s="2" t="str">
        <x:v>東京大学</x:v>
      </x:c>
      <x:c r="B73" s="2" t="str">
        <x:v>新領域創成科学研究科</x:v>
      </x:c>
      <x:c r="C73" s="2" t="str">
        <x:v>物質系専攻</x:v>
      </x:c>
      <x:c r="D73" s="44" t="n">
        <x:v>2024</x:v>
      </x:c>
      <x:c r="E73" s="27" t="str">
        <x:v>全年合计（入試日程Bの翌10月入学希望者を含む）</x:v>
      </x:c>
      <x:c r="F73" s="27" t="str">
        <x:v>修士課程</x:v>
      </x:c>
      <x:c r="G73" s="27" t="str">
        <x:v>全类别合计</x:v>
      </x:c>
      <x:c r="H73" s="27" t="str">
        <x:v>专攻/系</x:v>
      </x:c>
      <x:c r="I73" s="44" t="n">
        <x:v>38</x:v>
      </x:c>
      <x:c r="J73" s="44" t="n">
        <x:v>83</x:v>
      </x:c>
      <x:c r="K73" s="44"/>
      <x:c r="L73" s="44" t="n">
        <x:v>61</x:v>
      </x:c>
      <x:c r="M73" s="44"/>
      <x:c r="N73" s="45" t="n">
        <x:f>IF(AND(J73&lt;&gt;"",L73&lt;&gt;0),J73/L73,"")</x:f>
        <x:v>1.360655737704918</x:v>
      </x:c>
      <x:c r="O73" s="45" t="str">
        <x:f>IF(AND(K73&lt;&gt;"",L73&lt;&gt;0),K73/L73,"")</x:f>
      </x:c>
      <x:c r="P73" s="46" t="str">
        <x:f>IF(AND(K73&lt;&gt;"",K73&lt;&gt;0,L73&lt;&gt;""),L73/K73,"")</x:f>
      </x:c>
      <x:c r="Q73" s="46" t="str">
        <x:f>IF(AND(L73&lt;&gt;"",L73&lt;&gt;0,M73&lt;&gt;""),M73/L73,"")</x:f>
      </x:c>
      <x:c r="R73" s="45" t="n">
        <x:f>IF(N73&lt;&gt;"",N73,IF(O73&lt;&gt;"",O73,""))</x:f>
        <x:v>1.360655737704918</x:v>
      </x:c>
      <x:c r="S73" s="2" t="str">
        <x:f>IF(N73&lt;&gt;"","志愿/合格",IF(O73&lt;&gt;"","受验/合格",""))</x:f>
        <x:v>志愿/合格</x:v>
      </x:c>
      <x:c r="T73" s="2" t="str">
        <x:v>官方</x:v>
      </x:c>
      <x:c r="U73" s="2" t="str">
        <x:v>高</x:v>
      </x:c>
      <x:c r="V73" s="27" t="str">
        <x:v>入試実施状況について＜修士課程＞</x:v>
      </x:c>
      <x:c r="W73" s="27" t="str">
        <x:v>PDF 1頁、令和4～7年度の該当専攻行</x:v>
      </x:c>
      <x:c r="X73" s="27" t="str">
        <x:v>https://www.k.u-tokyo.ac.jp/assets/files/2026result_mc.pdf</x:v>
      </x:c>
      <x:c r="Y73" s="27" t="str">
        <x:v>専攻単位。メディカル情報生命専攻のみ、同一募集人員53の下にある3群の出願者・合格者を合算。</x:v>
      </x:c>
      <x:c r="Z73" s="47" t="str">
        <x:v>括弧内外国人数は内数。</x:v>
      </x:c>
    </x:row>
    <x:row r="74" ht="38" customHeight="1">
      <x:c r="A74" s="2" t="str">
        <x:v>東京大学</x:v>
      </x:c>
      <x:c r="B74" s="2" t="str">
        <x:v>新領域創成科学研究科</x:v>
      </x:c>
      <x:c r="C74" s="2" t="str">
        <x:v>物質系専攻</x:v>
      </x:c>
      <x:c r="D74" s="44" t="n">
        <x:v>2025</x:v>
      </x:c>
      <x:c r="E74" s="27" t="str">
        <x:v>全年合计（入試日程Bの翌10月入学希望者を含む）</x:v>
      </x:c>
      <x:c r="F74" s="27" t="str">
        <x:v>修士課程</x:v>
      </x:c>
      <x:c r="G74" s="27" t="str">
        <x:v>全类别合计</x:v>
      </x:c>
      <x:c r="H74" s="27" t="str">
        <x:v>专攻/系</x:v>
      </x:c>
      <x:c r="I74" s="44" t="n">
        <x:v>38</x:v>
      </x:c>
      <x:c r="J74" s="44" t="n">
        <x:v>88</x:v>
      </x:c>
      <x:c r="K74" s="44"/>
      <x:c r="L74" s="44" t="n">
        <x:v>55</x:v>
      </x:c>
      <x:c r="M74" s="44"/>
      <x:c r="N74" s="45" t="n">
        <x:f>IF(AND(J74&lt;&gt;"",L74&lt;&gt;0),J74/L74,"")</x:f>
        <x:v>1.6</x:v>
      </x:c>
      <x:c r="O74" s="45" t="str">
        <x:f>IF(AND(K74&lt;&gt;"",L74&lt;&gt;0),K74/L74,"")</x:f>
      </x:c>
      <x:c r="P74" s="46" t="str">
        <x:f>IF(AND(K74&lt;&gt;"",K74&lt;&gt;0,L74&lt;&gt;""),L74/K74,"")</x:f>
      </x:c>
      <x:c r="Q74" s="46" t="str">
        <x:f>IF(AND(L74&lt;&gt;"",L74&lt;&gt;0,M74&lt;&gt;""),M74/L74,"")</x:f>
      </x:c>
      <x:c r="R74" s="45" t="n">
        <x:f>IF(N74&lt;&gt;"",N74,IF(O74&lt;&gt;"",O74,""))</x:f>
        <x:v>1.6</x:v>
      </x:c>
      <x:c r="S74" s="2" t="str">
        <x:f>IF(N74&lt;&gt;"","志愿/合格",IF(O74&lt;&gt;"","受验/合格",""))</x:f>
        <x:v>志愿/合格</x:v>
      </x:c>
      <x:c r="T74" s="2" t="str">
        <x:v>官方</x:v>
      </x:c>
      <x:c r="U74" s="2" t="str">
        <x:v>高</x:v>
      </x:c>
      <x:c r="V74" s="27" t="str">
        <x:v>入試実施状況について＜修士課程＞</x:v>
      </x:c>
      <x:c r="W74" s="27" t="str">
        <x:v>PDF 1頁、令和4～7年度の該当専攻行</x:v>
      </x:c>
      <x:c r="X74" s="27" t="str">
        <x:v>https://www.k.u-tokyo.ac.jp/assets/files/2026result_mc.pdf</x:v>
      </x:c>
      <x:c r="Y74" s="27" t="str">
        <x:v>専攻単位。メディカル情報生命専攻のみ、同一募集人員53の下にある3群の出願者・合格者を合算。</x:v>
      </x:c>
      <x:c r="Z74" s="47" t="str">
        <x:v>括弧内外国人数は内数。</x:v>
      </x:c>
    </x:row>
    <x:row r="75" ht="38" customHeight="1">
      <x:c r="A75" s="2" t="str">
        <x:v>京都大学</x:v>
      </x:c>
      <x:c r="B75" s="2" t="str">
        <x:v>情報学研究科</x:v>
      </x:c>
      <x:c r="C75" s="2" t="str">
        <x:v>システム科学コース</x:v>
      </x:c>
      <x:c r="D75" s="44" t="n">
        <x:v>2022</x:v>
      </x:c>
      <x:c r="E75" s="27" t="str">
        <x:v>4月入学</x:v>
      </x:c>
      <x:c r="F75" s="27" t="str">
        <x:v>修士課程</x:v>
      </x:c>
      <x:c r="G75" s="27" t="str">
        <x:v>全类别合计</x:v>
      </x:c>
      <x:c r="H75" s="27" t="str">
        <x:v>课程/分野</x:v>
      </x:c>
      <x:c r="I75" s="44"/>
      <x:c r="J75" s="44"/>
      <x:c r="K75" s="44"/>
      <x:c r="L75" s="44"/>
      <x:c r="M75" s="44" t="n">
        <x:v>29</x:v>
      </x:c>
      <x:c r="N75" s="45" t="str">
        <x:f>IF(AND(J75&lt;&gt;"",L75&lt;&gt;0),J75/L75,"")</x:f>
      </x:c>
      <x:c r="O75" s="45" t="str">
        <x:f>IF(AND(K75&lt;&gt;"",L75&lt;&gt;0),K75/L75,"")</x:f>
      </x:c>
      <x:c r="P75" s="46" t="str">
        <x:f>IF(AND(K75&lt;&gt;"",K75&lt;&gt;0,L75&lt;&gt;""),L75/K75,"")</x:f>
      </x:c>
      <x:c r="Q75" s="46" t="str">
        <x:f>IF(AND(L75&lt;&gt;"",L75&lt;&gt;0,M75&lt;&gt;""),M75/L75,"")</x:f>
      </x:c>
      <x:c r="R75" s="45" t="str">
        <x:f>IF(N75&lt;&gt;"",N75,IF(O75&lt;&gt;"",O75,""))</x:f>
      </x:c>
      <x:c r="S75" s="2" t="str">
        <x:f>IF(N75&lt;&gt;"","志愿/合格",IF(O75&lt;&gt;"","受验/合格",""))</x:f>
      </x:c>
      <x:c r="T75" s="2" t="str">
        <x:v>官方</x:v>
      </x:c>
      <x:c r="U75" s="2" t="str">
        <x:v>高</x:v>
      </x:c>
      <x:c r="V75" s="27" t="str">
        <x:v>研究科データ</x:v>
      </x:c>
      <x:c r="W75" s="27" t="str">
        <x:v>Webページ「出身大学」表、修士課程・令和4/5年度の各コース計</x:v>
      </x:c>
      <x:c r="X75" s="27" t="str">
        <x:v>https://www.i.kyoto-u.ac.jp/admission/data/</x:v>
      </x:c>
      <x:c r="Y75" s="27" t="str">
        <x:v>コース単位の当該年度入学者総数。出身大学区分の列を合計した公式掲載値。</x:v>
      </x:c>
      <x:c r="Z75" s="47" t="str">
        <x:v>志願者・受験者・合格者はこの表に掲載なし。</x:v>
      </x:c>
    </x:row>
    <x:row r="76" ht="38" customHeight="1">
      <x:c r="A76" s="2" t="str">
        <x:v>京都大学</x:v>
      </x:c>
      <x:c r="B76" s="2" t="str">
        <x:v>情報学研究科</x:v>
      </x:c>
      <x:c r="C76" s="2" t="str">
        <x:v>システム科学コース</x:v>
      </x:c>
      <x:c r="D76" s="44" t="n">
        <x:v>2023</x:v>
      </x:c>
      <x:c r="E76" s="27" t="str">
        <x:v>4月入学</x:v>
      </x:c>
      <x:c r="F76" s="27" t="str">
        <x:v>修士課程</x:v>
      </x:c>
      <x:c r="G76" s="27" t="str">
        <x:v>全类别合计</x:v>
      </x:c>
      <x:c r="H76" s="27" t="str">
        <x:v>课程/分野</x:v>
      </x:c>
      <x:c r="I76" s="44"/>
      <x:c r="J76" s="44"/>
      <x:c r="K76" s="44"/>
      <x:c r="L76" s="44"/>
      <x:c r="M76" s="44" t="n">
        <x:v>33</x:v>
      </x:c>
      <x:c r="N76" s="45" t="str">
        <x:f>IF(AND(J76&lt;&gt;"",L76&lt;&gt;0),J76/L76,"")</x:f>
      </x:c>
      <x:c r="O76" s="45" t="str">
        <x:f>IF(AND(K76&lt;&gt;"",L76&lt;&gt;0),K76/L76,"")</x:f>
      </x:c>
      <x:c r="P76" s="46" t="str">
        <x:f>IF(AND(K76&lt;&gt;"",K76&lt;&gt;0,L76&lt;&gt;""),L76/K76,"")</x:f>
      </x:c>
      <x:c r="Q76" s="46" t="str">
        <x:f>IF(AND(L76&lt;&gt;"",L76&lt;&gt;0,M76&lt;&gt;""),M76/L76,"")</x:f>
      </x:c>
      <x:c r="R76" s="45" t="str">
        <x:f>IF(N76&lt;&gt;"",N76,IF(O76&lt;&gt;"",O76,""))</x:f>
      </x:c>
      <x:c r="S76" s="2" t="str">
        <x:f>IF(N76&lt;&gt;"","志愿/合格",IF(O76&lt;&gt;"","受验/合格",""))</x:f>
      </x:c>
      <x:c r="T76" s="2" t="str">
        <x:v>官方</x:v>
      </x:c>
      <x:c r="U76" s="2" t="str">
        <x:v>高</x:v>
      </x:c>
      <x:c r="V76" s="27" t="str">
        <x:v>研究科データ</x:v>
      </x:c>
      <x:c r="W76" s="27" t="str">
        <x:v>Webページ「出身大学」表、修士課程・令和4/5年度の各コース計</x:v>
      </x:c>
      <x:c r="X76" s="27" t="str">
        <x:v>https://www.i.kyoto-u.ac.jp/admission/data/</x:v>
      </x:c>
      <x:c r="Y76" s="27" t="str">
        <x:v>コース単位の当該年度入学者総数。出身大学区分の列を合計した公式掲載値。</x:v>
      </x:c>
      <x:c r="Z76" s="47" t="str">
        <x:v>志願者・受験者・合格者はこの表に掲載なし。</x:v>
      </x:c>
    </x:row>
    <x:row r="77" ht="38" customHeight="1">
      <x:c r="A77" s="2" t="str">
        <x:v>京都大学</x:v>
      </x:c>
      <x:c r="B77" s="2" t="str">
        <x:v>情報学研究科</x:v>
      </x:c>
      <x:c r="C77" s="2" t="str">
        <x:v>システム科学コース</x:v>
      </x:c>
      <x:c r="D77" s="44" t="n">
        <x:v>2025</x:v>
      </x:c>
      <x:c r="E77" s="27" t="str">
        <x:v>夏期入試</x:v>
      </x:c>
      <x:c r="F77" s="27" t="str">
        <x:v>修士課程</x:v>
      </x:c>
      <x:c r="G77" s="27" t="str">
        <x:v>一般選抜（合格発表掲載範囲）</x:v>
      </x:c>
      <x:c r="H77" s="27" t="str">
        <x:v>课程/分野</x:v>
      </x:c>
      <x:c r="I77" s="44"/>
      <x:c r="J77" s="44"/>
      <x:c r="K77" s="44"/>
      <x:c r="L77" s="44" t="n">
        <x:v>27</x:v>
      </x:c>
      <x:c r="M77" s="44"/>
      <x:c r="N77" s="45" t="str">
        <x:f>IF(AND(J77&lt;&gt;"",L77&lt;&gt;0),J77/L77,"")</x:f>
      </x:c>
      <x:c r="O77" s="45" t="str">
        <x:f>IF(AND(K77&lt;&gt;"",L77&lt;&gt;0),K77/L77,"")</x:f>
      </x:c>
      <x:c r="P77" s="46" t="str">
        <x:f>IF(AND(K77&lt;&gt;"",K77&lt;&gt;0,L77&lt;&gt;""),L77/K77,"")</x:f>
      </x:c>
      <x:c r="Q77" s="46" t="str">
        <x:f>IF(AND(L77&lt;&gt;"",L77&lt;&gt;0,M77&lt;&gt;""),M77/L77,"")</x:f>
      </x:c>
      <x:c r="R77" s="45" t="str">
        <x:f>IF(N77&lt;&gt;"",N77,IF(O77&lt;&gt;"",O77,""))</x:f>
      </x:c>
      <x:c r="S77" s="2" t="str">
        <x:f>IF(N77&lt;&gt;"","志愿/合格",IF(O77&lt;&gt;"","受验/合格",""))</x:f>
      </x:c>
      <x:c r="T77" s="2" t="str">
        <x:v>官方</x:v>
      </x:c>
      <x:c r="U77" s="2" t="str">
        <x:v>高</x:v>
      </x:c>
      <x:c r="V77" s="27" t="str">
        <x:v>2025年度4月期入学 修士課程夏期入学試験 合格者発表</x:v>
      </x:c>
      <x:c r="W77" s="27" t="str">
        <x:v>PDFのコース別合格者受験番号一覧（掲載番号を件数化）</x:v>
      </x:c>
      <x:c r="X77" s="27" t="str">
        <x:v>https://www.i.kyoto-u.ac.jp/assets/pdf/admission/pass/20240816_summer_m_ja_f9K7.pdf</x:v>
      </x:c>
      <x:c r="Y77" s="27" t="str">
        <x:v>コース単位・当該日程のみ。別日程と合算していない。</x:v>
      </x:c>
      <x:c r="Z77" s="47" t="str">
        <x:v>公式PDFは合格者受験番号のみで、志願者・受験者数は非掲載。</x:v>
      </x:c>
    </x:row>
    <x:row r="78" ht="38" customHeight="1">
      <x:c r="A78" s="2" t="str">
        <x:v>京都大学</x:v>
      </x:c>
      <x:c r="B78" s="2" t="str">
        <x:v>情報学研究科</x:v>
      </x:c>
      <x:c r="C78" s="2" t="str">
        <x:v>システム科学コース</x:v>
      </x:c>
      <x:c r="D78" s="44" t="n">
        <x:v>2025</x:v>
      </x:c>
      <x:c r="E78" s="27" t="str">
        <x:v>冬期入試</x:v>
      </x:c>
      <x:c r="F78" s="27" t="str">
        <x:v>修士課程</x:v>
      </x:c>
      <x:c r="G78" s="27" t="str">
        <x:v>一般選抜（合格発表掲載範囲）</x:v>
      </x:c>
      <x:c r="H78" s="27" t="str">
        <x:v>课程/分野</x:v>
      </x:c>
      <x:c r="I78" s="44"/>
      <x:c r="J78" s="44"/>
      <x:c r="K78" s="44"/>
      <x:c r="L78" s="44" t="n">
        <x:v>3</x:v>
      </x:c>
      <x:c r="M78" s="44"/>
      <x:c r="N78" s="45" t="str">
        <x:f>IF(AND(J78&lt;&gt;"",L78&lt;&gt;0),J78/L78,"")</x:f>
      </x:c>
      <x:c r="O78" s="45" t="str">
        <x:f>IF(AND(K78&lt;&gt;"",L78&lt;&gt;0),K78/L78,"")</x:f>
      </x:c>
      <x:c r="P78" s="46" t="str">
        <x:f>IF(AND(K78&lt;&gt;"",K78&lt;&gt;0,L78&lt;&gt;""),L78/K78,"")</x:f>
      </x:c>
      <x:c r="Q78" s="46" t="str">
        <x:f>IF(AND(L78&lt;&gt;"",L78&lt;&gt;0,M78&lt;&gt;""),M78/L78,"")</x:f>
      </x:c>
      <x:c r="R78" s="45" t="str">
        <x:f>IF(N78&lt;&gt;"",N78,IF(O78&lt;&gt;"",O78,""))</x:f>
      </x:c>
      <x:c r="S78" s="2" t="str">
        <x:f>IF(N78&lt;&gt;"","志愿/合格",IF(O78&lt;&gt;"","受验/合格",""))</x:f>
      </x:c>
      <x:c r="T78" s="2" t="str">
        <x:v>官方</x:v>
      </x:c>
      <x:c r="U78" s="2" t="str">
        <x:v>高</x:v>
      </x:c>
      <x:c r="V78" s="27" t="str">
        <x:v>2025年度4月期入学 修士課程冬期入学試験 合格者発表</x:v>
      </x:c>
      <x:c r="W78" s="27" t="str">
        <x:v>PDFのコース別合格者受験番号一覧（掲載番号を件数化）</x:v>
      </x:c>
      <x:c r="X78" s="27" t="str">
        <x:v>https://www.i.kyoto-u.ac.jp/assets/pdf/admission/pass/20250214_winter_m_ja_3kFs.pdf</x:v>
      </x:c>
      <x:c r="Y78" s="27" t="str">
        <x:v>コース単位・当該日程のみ。別日程と合算していない。</x:v>
      </x:c>
      <x:c r="Z78" s="47" t="str">
        <x:v>公式PDFは合格者受験番号のみで、志願者・受験者数は非掲載。</x:v>
      </x:c>
    </x:row>
    <x:row r="79" ht="38" customHeight="1">
      <x:c r="A79" s="2" t="str">
        <x:v>京都大学</x:v>
      </x:c>
      <x:c r="B79" s="2" t="str">
        <x:v>情報学研究科</x:v>
      </x:c>
      <x:c r="C79" s="2" t="str">
        <x:v>システム科学コース</x:v>
      </x:c>
      <x:c r="D79" s="44" t="n">
        <x:v>2026</x:v>
      </x:c>
      <x:c r="E79" s="27" t="str">
        <x:v>4月期入学（全日程）</x:v>
      </x:c>
      <x:c r="F79" s="27" t="str">
        <x:v>修士課程</x:v>
      </x:c>
      <x:c r="G79" s="27" t="str">
        <x:v>募集要項記載のコース定員</x:v>
      </x:c>
      <x:c r="H79" s="27" t="str">
        <x:v>课程/分野</x:v>
      </x:c>
      <x:c r="I79" s="44" t="n">
        <x:v>28</x:v>
      </x:c>
      <x:c r="J79" s="44"/>
      <x:c r="K79" s="44"/>
      <x:c r="L79" s="44"/>
      <x:c r="M79" s="44"/>
      <x:c r="N79" s="45" t="str">
        <x:f>IF(AND(J79&lt;&gt;"",L79&lt;&gt;0),J79/L79,"")</x:f>
      </x:c>
      <x:c r="O79" s="45" t="str">
        <x:f>IF(AND(K79&lt;&gt;"",L79&lt;&gt;0),K79/L79,"")</x:f>
      </x:c>
      <x:c r="P79" s="46" t="str">
        <x:f>IF(AND(K79&lt;&gt;"",K79&lt;&gt;0,L79&lt;&gt;""),L79/K79,"")</x:f>
      </x:c>
      <x:c r="Q79" s="46" t="str">
        <x:f>IF(AND(L79&lt;&gt;"",L79&lt;&gt;0,M79&lt;&gt;""),M79/L79,"")</x:f>
      </x:c>
      <x:c r="R79" s="45" t="str">
        <x:f>IF(N79&lt;&gt;"",N79,IF(O79&lt;&gt;"",O79,""))</x:f>
      </x:c>
      <x:c r="S79" s="2" t="str">
        <x:f>IF(N79&lt;&gt;"","志愿/合格",IF(O79&lt;&gt;"","受验/合格",""))</x:f>
      </x:c>
      <x:c r="T79" s="2" t="str">
        <x:v>官方</x:v>
      </x:c>
      <x:c r="U79" s="2" t="str">
        <x:v>高</x:v>
      </x:c>
      <x:c r="V79" s="27" t="str">
        <x:v>2026年度4月期入学 修士課程学生募集要項</x:v>
      </x:c>
      <x:c r="W79" s="27" t="str">
        <x:v>PDF 1頁「募集人員」表</x:v>
      </x:c>
      <x:c r="X79" s="27" t="str">
        <x:v>https://www.i.kyoto-u.ac.jp/assets/pdf/admission/application/master-2026-4.pdf</x:v>
      </x:c>
      <x:c r="Y79" s="27" t="str">
        <x:v>コース単位の募集人員。夏期・冬期を通じた定員で、各日程への配分は非掲載。</x:v>
      </x:c>
      <x:c r="Z79" s="47" t="str">
        <x:v>志願者・合格者等とは別表のため、定員のみの行。</x:v>
      </x:c>
    </x:row>
    <x:row r="80" ht="38" customHeight="1">
      <x:c r="A80" s="2" t="str">
        <x:v>京都大学</x:v>
      </x:c>
      <x:c r="B80" s="2" t="str">
        <x:v>情報学研究科</x:v>
      </x:c>
      <x:c r="C80" s="2" t="str">
        <x:v>システム科学コース</x:v>
      </x:c>
      <x:c r="D80" s="44" t="n">
        <x:v>2026</x:v>
      </x:c>
      <x:c r="E80" s="27" t="str">
        <x:v>夏期入試</x:v>
      </x:c>
      <x:c r="F80" s="27" t="str">
        <x:v>修士課程</x:v>
      </x:c>
      <x:c r="G80" s="27" t="str">
        <x:v>一般選抜（合格発表掲載範囲）</x:v>
      </x:c>
      <x:c r="H80" s="27" t="str">
        <x:v>课程/分野</x:v>
      </x:c>
      <x:c r="I80" s="44"/>
      <x:c r="J80" s="44"/>
      <x:c r="K80" s="44"/>
      <x:c r="L80" s="44" t="n">
        <x:v>29</x:v>
      </x:c>
      <x:c r="M80" s="44"/>
      <x:c r="N80" s="45" t="str">
        <x:f>IF(AND(J80&lt;&gt;"",L80&lt;&gt;0),J80/L80,"")</x:f>
      </x:c>
      <x:c r="O80" s="45" t="str">
        <x:f>IF(AND(K80&lt;&gt;"",L80&lt;&gt;0),K80/L80,"")</x:f>
      </x:c>
      <x:c r="P80" s="46" t="str">
        <x:f>IF(AND(K80&lt;&gt;"",K80&lt;&gt;0,L80&lt;&gt;""),L80/K80,"")</x:f>
      </x:c>
      <x:c r="Q80" s="46" t="str">
        <x:f>IF(AND(L80&lt;&gt;"",L80&lt;&gt;0,M80&lt;&gt;""),M80/L80,"")</x:f>
      </x:c>
      <x:c r="R80" s="45" t="str">
        <x:f>IF(N80&lt;&gt;"",N80,IF(O80&lt;&gt;"",O80,""))</x:f>
      </x:c>
      <x:c r="S80" s="2" t="str">
        <x:f>IF(N80&lt;&gt;"","志愿/合格",IF(O80&lt;&gt;"","受验/合格",""))</x:f>
      </x:c>
      <x:c r="T80" s="2" t="str">
        <x:v>官方</x:v>
      </x:c>
      <x:c r="U80" s="2" t="str">
        <x:v>高</x:v>
      </x:c>
      <x:c r="V80" s="27" t="str">
        <x:v>2026年度4月期入学 修士課程夏期入学試験 合格者発表</x:v>
      </x:c>
      <x:c r="W80" s="27" t="str">
        <x:v>PDFのコース別合格者受験番号一覧（掲載番号を件数化）</x:v>
      </x:c>
      <x:c r="X80" s="27" t="str">
        <x:v>https://www.i.kyoto-u.ac.jp/assets/pdf/admission/pass/20250815-summer-m-ja-cFN4.pdf</x:v>
      </x:c>
      <x:c r="Y80" s="27" t="str">
        <x:v>コース単位・当該日程のみ。別日程と合算していない。</x:v>
      </x:c>
      <x:c r="Z80" s="47" t="str">
        <x:v>公式PDFは合格者受験番号のみで、志願者・受験者数は非掲載。</x:v>
      </x:c>
    </x:row>
    <x:row r="81" ht="38" customHeight="1">
      <x:c r="A81" s="2" t="str">
        <x:v>京都大学</x:v>
      </x:c>
      <x:c r="B81" s="2" t="str">
        <x:v>情報学研究科</x:v>
      </x:c>
      <x:c r="C81" s="2" t="str">
        <x:v>数理工学コース</x:v>
      </x:c>
      <x:c r="D81" s="44" t="n">
        <x:v>2022</x:v>
      </x:c>
      <x:c r="E81" s="27" t="str">
        <x:v>4月入学</x:v>
      </x:c>
      <x:c r="F81" s="27" t="str">
        <x:v>修士課程</x:v>
      </x:c>
      <x:c r="G81" s="27" t="str">
        <x:v>全类别合计</x:v>
      </x:c>
      <x:c r="H81" s="27" t="str">
        <x:v>课程/分野</x:v>
      </x:c>
      <x:c r="I81" s="44"/>
      <x:c r="J81" s="44"/>
      <x:c r="K81" s="44"/>
      <x:c r="L81" s="44"/>
      <x:c r="M81" s="44" t="n">
        <x:v>24</x:v>
      </x:c>
      <x:c r="N81" s="45" t="str">
        <x:f>IF(AND(J81&lt;&gt;"",L81&lt;&gt;0),J81/L81,"")</x:f>
      </x:c>
      <x:c r="O81" s="45" t="str">
        <x:f>IF(AND(K81&lt;&gt;"",L81&lt;&gt;0),K81/L81,"")</x:f>
      </x:c>
      <x:c r="P81" s="46" t="str">
        <x:f>IF(AND(K81&lt;&gt;"",K81&lt;&gt;0,L81&lt;&gt;""),L81/K81,"")</x:f>
      </x:c>
      <x:c r="Q81" s="46" t="str">
        <x:f>IF(AND(L81&lt;&gt;"",L81&lt;&gt;0,M81&lt;&gt;""),M81/L81,"")</x:f>
      </x:c>
      <x:c r="R81" s="45" t="str">
        <x:f>IF(N81&lt;&gt;"",N81,IF(O81&lt;&gt;"",O81,""))</x:f>
      </x:c>
      <x:c r="S81" s="2" t="str">
        <x:f>IF(N81&lt;&gt;"","志愿/合格",IF(O81&lt;&gt;"","受验/合格",""))</x:f>
      </x:c>
      <x:c r="T81" s="2" t="str">
        <x:v>官方</x:v>
      </x:c>
      <x:c r="U81" s="2" t="str">
        <x:v>高</x:v>
      </x:c>
      <x:c r="V81" s="27" t="str">
        <x:v>研究科データ</x:v>
      </x:c>
      <x:c r="W81" s="27" t="str">
        <x:v>Webページ「出身大学」表、修士課程・令和4/5年度の各コース計</x:v>
      </x:c>
      <x:c r="X81" s="27" t="str">
        <x:v>https://www.i.kyoto-u.ac.jp/admission/data/</x:v>
      </x:c>
      <x:c r="Y81" s="27" t="str">
        <x:v>コース単位の当該年度入学者総数。出身大学区分の列を合計した公式掲載値。</x:v>
      </x:c>
      <x:c r="Z81" s="47" t="str">
        <x:v>志願者・受験者・合格者はこの表に掲載なし。</x:v>
      </x:c>
    </x:row>
    <x:row r="82" ht="38" customHeight="1">
      <x:c r="A82" s="2" t="str">
        <x:v>京都大学</x:v>
      </x:c>
      <x:c r="B82" s="2" t="str">
        <x:v>情報学研究科</x:v>
      </x:c>
      <x:c r="C82" s="2" t="str">
        <x:v>数理工学コース</x:v>
      </x:c>
      <x:c r="D82" s="44" t="n">
        <x:v>2023</x:v>
      </x:c>
      <x:c r="E82" s="27" t="str">
        <x:v>4月入学</x:v>
      </x:c>
      <x:c r="F82" s="27" t="str">
        <x:v>修士課程</x:v>
      </x:c>
      <x:c r="G82" s="27" t="str">
        <x:v>全类别合计</x:v>
      </x:c>
      <x:c r="H82" s="27" t="str">
        <x:v>课程/分野</x:v>
      </x:c>
      <x:c r="I82" s="44"/>
      <x:c r="J82" s="44"/>
      <x:c r="K82" s="44"/>
      <x:c r="L82" s="44"/>
      <x:c r="M82" s="44" t="n">
        <x:v>29</x:v>
      </x:c>
      <x:c r="N82" s="45" t="str">
        <x:f>IF(AND(J82&lt;&gt;"",L82&lt;&gt;0),J82/L82,"")</x:f>
      </x:c>
      <x:c r="O82" s="45" t="str">
        <x:f>IF(AND(K82&lt;&gt;"",L82&lt;&gt;0),K82/L82,"")</x:f>
      </x:c>
      <x:c r="P82" s="46" t="str">
        <x:f>IF(AND(K82&lt;&gt;"",K82&lt;&gt;0,L82&lt;&gt;""),L82/K82,"")</x:f>
      </x:c>
      <x:c r="Q82" s="46" t="str">
        <x:f>IF(AND(L82&lt;&gt;"",L82&lt;&gt;0,M82&lt;&gt;""),M82/L82,"")</x:f>
      </x:c>
      <x:c r="R82" s="45" t="str">
        <x:f>IF(N82&lt;&gt;"",N82,IF(O82&lt;&gt;"",O82,""))</x:f>
      </x:c>
      <x:c r="S82" s="2" t="str">
        <x:f>IF(N82&lt;&gt;"","志愿/合格",IF(O82&lt;&gt;"","受验/合格",""))</x:f>
      </x:c>
      <x:c r="T82" s="2" t="str">
        <x:v>官方</x:v>
      </x:c>
      <x:c r="U82" s="2" t="str">
        <x:v>高</x:v>
      </x:c>
      <x:c r="V82" s="27" t="str">
        <x:v>研究科データ</x:v>
      </x:c>
      <x:c r="W82" s="27" t="str">
        <x:v>Webページ「出身大学」表、修士課程・令和4/5年度の各コース計</x:v>
      </x:c>
      <x:c r="X82" s="27" t="str">
        <x:v>https://www.i.kyoto-u.ac.jp/admission/data/</x:v>
      </x:c>
      <x:c r="Y82" s="27" t="str">
        <x:v>コース単位の当該年度入学者総数。出身大学区分の列を合計した公式掲載値。</x:v>
      </x:c>
      <x:c r="Z82" s="47" t="str">
        <x:v>志願者・受験者・合格者はこの表に掲載なし。</x:v>
      </x:c>
    </x:row>
    <x:row r="83" ht="38" customHeight="1">
      <x:c r="A83" s="2" t="str">
        <x:v>京都大学</x:v>
      </x:c>
      <x:c r="B83" s="2" t="str">
        <x:v>情報学研究科</x:v>
      </x:c>
      <x:c r="C83" s="2" t="str">
        <x:v>数理工学コース</x:v>
      </x:c>
      <x:c r="D83" s="44" t="n">
        <x:v>2025</x:v>
      </x:c>
      <x:c r="E83" s="27" t="str">
        <x:v>夏期入試</x:v>
      </x:c>
      <x:c r="F83" s="27" t="str">
        <x:v>修士課程</x:v>
      </x:c>
      <x:c r="G83" s="27" t="str">
        <x:v>一般選抜（合格発表掲載範囲）</x:v>
      </x:c>
      <x:c r="H83" s="27" t="str">
        <x:v>课程/分野</x:v>
      </x:c>
      <x:c r="I83" s="44"/>
      <x:c r="J83" s="44"/>
      <x:c r="K83" s="44"/>
      <x:c r="L83" s="44" t="n">
        <x:v>27</x:v>
      </x:c>
      <x:c r="M83" s="44"/>
      <x:c r="N83" s="45" t="str">
        <x:f>IF(AND(J83&lt;&gt;"",L83&lt;&gt;0),J83/L83,"")</x:f>
      </x:c>
      <x:c r="O83" s="45" t="str">
        <x:f>IF(AND(K83&lt;&gt;"",L83&lt;&gt;0),K83/L83,"")</x:f>
      </x:c>
      <x:c r="P83" s="46" t="str">
        <x:f>IF(AND(K83&lt;&gt;"",K83&lt;&gt;0,L83&lt;&gt;""),L83/K83,"")</x:f>
      </x:c>
      <x:c r="Q83" s="46" t="str">
        <x:f>IF(AND(L83&lt;&gt;"",L83&lt;&gt;0,M83&lt;&gt;""),M83/L83,"")</x:f>
      </x:c>
      <x:c r="R83" s="45" t="str">
        <x:f>IF(N83&lt;&gt;"",N83,IF(O83&lt;&gt;"",O83,""))</x:f>
      </x:c>
      <x:c r="S83" s="2" t="str">
        <x:f>IF(N83&lt;&gt;"","志愿/合格",IF(O83&lt;&gt;"","受验/合格",""))</x:f>
      </x:c>
      <x:c r="T83" s="2" t="str">
        <x:v>官方</x:v>
      </x:c>
      <x:c r="U83" s="2" t="str">
        <x:v>高</x:v>
      </x:c>
      <x:c r="V83" s="27" t="str">
        <x:v>2025年度4月期入学 修士課程夏期入学試験 合格者発表</x:v>
      </x:c>
      <x:c r="W83" s="27" t="str">
        <x:v>PDFのコース別合格者受験番号一覧（掲載番号を件数化）</x:v>
      </x:c>
      <x:c r="X83" s="27" t="str">
        <x:v>https://www.i.kyoto-u.ac.jp/assets/pdf/admission/pass/20240816_summer_m_ja_f9K7.pdf</x:v>
      </x:c>
      <x:c r="Y83" s="27" t="str">
        <x:v>コース単位・当該日程のみ。別日程と合算していない。</x:v>
      </x:c>
      <x:c r="Z83" s="47" t="str">
        <x:v>公式PDFは合格者受験番号のみで、志願者・受験者数は非掲載。</x:v>
      </x:c>
    </x:row>
    <x:row r="84" ht="38" customHeight="1">
      <x:c r="A84" s="2" t="str">
        <x:v>京都大学</x:v>
      </x:c>
      <x:c r="B84" s="2" t="str">
        <x:v>情報学研究科</x:v>
      </x:c>
      <x:c r="C84" s="2" t="str">
        <x:v>数理工学コース</x:v>
      </x:c>
      <x:c r="D84" s="44" t="n">
        <x:v>2025</x:v>
      </x:c>
      <x:c r="E84" s="27" t="str">
        <x:v>冬期入試</x:v>
      </x:c>
      <x:c r="F84" s="27" t="str">
        <x:v>修士課程</x:v>
      </x:c>
      <x:c r="G84" s="27" t="str">
        <x:v>一般選抜（合格発表掲載範囲）</x:v>
      </x:c>
      <x:c r="H84" s="27" t="str">
        <x:v>课程/分野</x:v>
      </x:c>
      <x:c r="I84" s="44"/>
      <x:c r="J84" s="44"/>
      <x:c r="K84" s="44"/>
      <x:c r="L84" s="44" t="n">
        <x:v>1</x:v>
      </x:c>
      <x:c r="M84" s="44"/>
      <x:c r="N84" s="45" t="str">
        <x:f>IF(AND(J84&lt;&gt;"",L84&lt;&gt;0),J84/L84,"")</x:f>
      </x:c>
      <x:c r="O84" s="45" t="str">
        <x:f>IF(AND(K84&lt;&gt;"",L84&lt;&gt;0),K84/L84,"")</x:f>
      </x:c>
      <x:c r="P84" s="46" t="str">
        <x:f>IF(AND(K84&lt;&gt;"",K84&lt;&gt;0,L84&lt;&gt;""),L84/K84,"")</x:f>
      </x:c>
      <x:c r="Q84" s="46" t="str">
        <x:f>IF(AND(L84&lt;&gt;"",L84&lt;&gt;0,M84&lt;&gt;""),M84/L84,"")</x:f>
      </x:c>
      <x:c r="R84" s="45" t="str">
        <x:f>IF(N84&lt;&gt;"",N84,IF(O84&lt;&gt;"",O84,""))</x:f>
      </x:c>
      <x:c r="S84" s="2" t="str">
        <x:f>IF(N84&lt;&gt;"","志愿/合格",IF(O84&lt;&gt;"","受验/合格",""))</x:f>
      </x:c>
      <x:c r="T84" s="2" t="str">
        <x:v>官方</x:v>
      </x:c>
      <x:c r="U84" s="2" t="str">
        <x:v>高</x:v>
      </x:c>
      <x:c r="V84" s="27" t="str">
        <x:v>2025年度4月期入学 修士課程冬期入学試験 合格者発表</x:v>
      </x:c>
      <x:c r="W84" s="27" t="str">
        <x:v>PDFのコース別合格者受験番号一覧（掲載番号を件数化）</x:v>
      </x:c>
      <x:c r="X84" s="27" t="str">
        <x:v>https://www.i.kyoto-u.ac.jp/assets/pdf/admission/pass/20250214_winter_m_ja_3kFs.pdf</x:v>
      </x:c>
      <x:c r="Y84" s="27" t="str">
        <x:v>コース単位・当該日程のみ。別日程と合算していない。</x:v>
      </x:c>
      <x:c r="Z84" s="47" t="str">
        <x:v>公式PDFは合格者受験番号のみで、志願者・受験者数は非掲載。</x:v>
      </x:c>
    </x:row>
    <x:row r="85" ht="38" customHeight="1">
      <x:c r="A85" s="2" t="str">
        <x:v>京都大学</x:v>
      </x:c>
      <x:c r="B85" s="2" t="str">
        <x:v>情報学研究科</x:v>
      </x:c>
      <x:c r="C85" s="2" t="str">
        <x:v>数理工学コース</x:v>
      </x:c>
      <x:c r="D85" s="44" t="n">
        <x:v>2026</x:v>
      </x:c>
      <x:c r="E85" s="27" t="str">
        <x:v>4月期入学（全日程）</x:v>
      </x:c>
      <x:c r="F85" s="27" t="str">
        <x:v>修士課程</x:v>
      </x:c>
      <x:c r="G85" s="27" t="str">
        <x:v>募集要項記載のコース定員</x:v>
      </x:c>
      <x:c r="H85" s="27" t="str">
        <x:v>课程/分野</x:v>
      </x:c>
      <x:c r="I85" s="44" t="n">
        <x:v>25</x:v>
      </x:c>
      <x:c r="J85" s="44"/>
      <x:c r="K85" s="44"/>
      <x:c r="L85" s="44"/>
      <x:c r="M85" s="44"/>
      <x:c r="N85" s="45" t="str">
        <x:f>IF(AND(J85&lt;&gt;"",L85&lt;&gt;0),J85/L85,"")</x:f>
      </x:c>
      <x:c r="O85" s="45" t="str">
        <x:f>IF(AND(K85&lt;&gt;"",L85&lt;&gt;0),K85/L85,"")</x:f>
      </x:c>
      <x:c r="P85" s="46" t="str">
        <x:f>IF(AND(K85&lt;&gt;"",K85&lt;&gt;0,L85&lt;&gt;""),L85/K85,"")</x:f>
      </x:c>
      <x:c r="Q85" s="46" t="str">
        <x:f>IF(AND(L85&lt;&gt;"",L85&lt;&gt;0,M85&lt;&gt;""),M85/L85,"")</x:f>
      </x:c>
      <x:c r="R85" s="45" t="str">
        <x:f>IF(N85&lt;&gt;"",N85,IF(O85&lt;&gt;"",O85,""))</x:f>
      </x:c>
      <x:c r="S85" s="2" t="str">
        <x:f>IF(N85&lt;&gt;"","志愿/合格",IF(O85&lt;&gt;"","受验/合格",""))</x:f>
      </x:c>
      <x:c r="T85" s="2" t="str">
        <x:v>官方</x:v>
      </x:c>
      <x:c r="U85" s="2" t="str">
        <x:v>高</x:v>
      </x:c>
      <x:c r="V85" s="27" t="str">
        <x:v>2026年度4月期入学 修士課程学生募集要項</x:v>
      </x:c>
      <x:c r="W85" s="27" t="str">
        <x:v>PDF 1頁「募集人員」表</x:v>
      </x:c>
      <x:c r="X85" s="27" t="str">
        <x:v>https://www.i.kyoto-u.ac.jp/assets/pdf/admission/application/master-2026-4.pdf</x:v>
      </x:c>
      <x:c r="Y85" s="27" t="str">
        <x:v>コース単位の募集人員。夏期・冬期を通じた定員で、各日程への配分は非掲載。</x:v>
      </x:c>
      <x:c r="Z85" s="47" t="str">
        <x:v>志願者・合格者等とは別表のため、定員のみの行。</x:v>
      </x:c>
    </x:row>
    <x:row r="86" ht="38" customHeight="1">
      <x:c r="A86" s="2" t="str">
        <x:v>京都大学</x:v>
      </x:c>
      <x:c r="B86" s="2" t="str">
        <x:v>情報学研究科</x:v>
      </x:c>
      <x:c r="C86" s="2" t="str">
        <x:v>数理工学コース</x:v>
      </x:c>
      <x:c r="D86" s="44" t="n">
        <x:v>2026</x:v>
      </x:c>
      <x:c r="E86" s="27" t="str">
        <x:v>夏期入試</x:v>
      </x:c>
      <x:c r="F86" s="27" t="str">
        <x:v>修士課程</x:v>
      </x:c>
      <x:c r="G86" s="27" t="str">
        <x:v>一般選抜（合格発表掲載範囲）</x:v>
      </x:c>
      <x:c r="H86" s="27" t="str">
        <x:v>课程/分野</x:v>
      </x:c>
      <x:c r="I86" s="44"/>
      <x:c r="J86" s="44"/>
      <x:c r="K86" s="44"/>
      <x:c r="L86" s="44" t="n">
        <x:v>25</x:v>
      </x:c>
      <x:c r="M86" s="44"/>
      <x:c r="N86" s="45" t="str">
        <x:f>IF(AND(J86&lt;&gt;"",L86&lt;&gt;0),J86/L86,"")</x:f>
      </x:c>
      <x:c r="O86" s="45" t="str">
        <x:f>IF(AND(K86&lt;&gt;"",L86&lt;&gt;0),K86/L86,"")</x:f>
      </x:c>
      <x:c r="P86" s="46" t="str">
        <x:f>IF(AND(K86&lt;&gt;"",K86&lt;&gt;0,L86&lt;&gt;""),L86/K86,"")</x:f>
      </x:c>
      <x:c r="Q86" s="46" t="str">
        <x:f>IF(AND(L86&lt;&gt;"",L86&lt;&gt;0,M86&lt;&gt;""),M86/L86,"")</x:f>
      </x:c>
      <x:c r="R86" s="45" t="str">
        <x:f>IF(N86&lt;&gt;"",N86,IF(O86&lt;&gt;"",O86,""))</x:f>
      </x:c>
      <x:c r="S86" s="2" t="str">
        <x:f>IF(N86&lt;&gt;"","志愿/合格",IF(O86&lt;&gt;"","受验/合格",""))</x:f>
      </x:c>
      <x:c r="T86" s="2" t="str">
        <x:v>官方</x:v>
      </x:c>
      <x:c r="U86" s="2" t="str">
        <x:v>高</x:v>
      </x:c>
      <x:c r="V86" s="27" t="str">
        <x:v>2026年度4月期入学 修士課程夏期入学試験 合格者発表</x:v>
      </x:c>
      <x:c r="W86" s="27" t="str">
        <x:v>PDFのコース別合格者受験番号一覧（掲載番号を件数化）</x:v>
      </x:c>
      <x:c r="X86" s="27" t="str">
        <x:v>https://www.i.kyoto-u.ac.jp/assets/pdf/admission/pass/20250815-summer-m-ja-cFN4.pdf</x:v>
      </x:c>
      <x:c r="Y86" s="27" t="str">
        <x:v>コース単位・当該日程のみ。別日程と合算していない。</x:v>
      </x:c>
      <x:c r="Z86" s="47" t="str">
        <x:v>公式PDFは合格者受験番号のみで、志願者・受験者数は非掲載。</x:v>
      </x:c>
    </x:row>
    <x:row r="87" ht="38" customHeight="1">
      <x:c r="A87" s="2" t="str">
        <x:v>京都大学</x:v>
      </x:c>
      <x:c r="B87" s="2" t="str">
        <x:v>情報学研究科</x:v>
      </x:c>
      <x:c r="C87" s="2" t="str">
        <x:v>先端数理科学コース</x:v>
      </x:c>
      <x:c r="D87" s="44" t="n">
        <x:v>2022</x:v>
      </x:c>
      <x:c r="E87" s="27" t="str">
        <x:v>4月入学</x:v>
      </x:c>
      <x:c r="F87" s="27" t="str">
        <x:v>修士課程</x:v>
      </x:c>
      <x:c r="G87" s="27" t="str">
        <x:v>全类别合计</x:v>
      </x:c>
      <x:c r="H87" s="27" t="str">
        <x:v>课程/分野</x:v>
      </x:c>
      <x:c r="I87" s="44"/>
      <x:c r="J87" s="44"/>
      <x:c r="K87" s="44"/>
      <x:c r="L87" s="44"/>
      <x:c r="M87" s="44" t="n">
        <x:v>19</x:v>
      </x:c>
      <x:c r="N87" s="45" t="str">
        <x:f>IF(AND(J87&lt;&gt;"",L87&lt;&gt;0),J87/L87,"")</x:f>
      </x:c>
      <x:c r="O87" s="45" t="str">
        <x:f>IF(AND(K87&lt;&gt;"",L87&lt;&gt;0),K87/L87,"")</x:f>
      </x:c>
      <x:c r="P87" s="46" t="str">
        <x:f>IF(AND(K87&lt;&gt;"",K87&lt;&gt;0,L87&lt;&gt;""),L87/K87,"")</x:f>
      </x:c>
      <x:c r="Q87" s="46" t="str">
        <x:f>IF(AND(L87&lt;&gt;"",L87&lt;&gt;0,M87&lt;&gt;""),M87/L87,"")</x:f>
      </x:c>
      <x:c r="R87" s="45" t="str">
        <x:f>IF(N87&lt;&gt;"",N87,IF(O87&lt;&gt;"",O87,""))</x:f>
      </x:c>
      <x:c r="S87" s="2" t="str">
        <x:f>IF(N87&lt;&gt;"","志愿/合格",IF(O87&lt;&gt;"","受验/合格",""))</x:f>
      </x:c>
      <x:c r="T87" s="2" t="str">
        <x:v>官方</x:v>
      </x:c>
      <x:c r="U87" s="2" t="str">
        <x:v>高</x:v>
      </x:c>
      <x:c r="V87" s="27" t="str">
        <x:v>研究科データ</x:v>
      </x:c>
      <x:c r="W87" s="27" t="str">
        <x:v>Webページ「出身大学」表、修士課程・令和4/5年度の各コース計</x:v>
      </x:c>
      <x:c r="X87" s="27" t="str">
        <x:v>https://www.i.kyoto-u.ac.jp/admission/data/</x:v>
      </x:c>
      <x:c r="Y87" s="27" t="str">
        <x:v>コース単位の当該年度入学者総数。出身大学区分の列を合計した公式掲載値。</x:v>
      </x:c>
      <x:c r="Z87" s="47" t="str">
        <x:v>志願者・受験者・合格者はこの表に掲載なし。</x:v>
      </x:c>
    </x:row>
    <x:row r="88" ht="38" customHeight="1">
      <x:c r="A88" s="2" t="str">
        <x:v>京都大学</x:v>
      </x:c>
      <x:c r="B88" s="2" t="str">
        <x:v>情報学研究科</x:v>
      </x:c>
      <x:c r="C88" s="2" t="str">
        <x:v>先端数理科学コース</x:v>
      </x:c>
      <x:c r="D88" s="44" t="n">
        <x:v>2023</x:v>
      </x:c>
      <x:c r="E88" s="27" t="str">
        <x:v>4月入学</x:v>
      </x:c>
      <x:c r="F88" s="27" t="str">
        <x:v>修士課程</x:v>
      </x:c>
      <x:c r="G88" s="27" t="str">
        <x:v>全类别合计</x:v>
      </x:c>
      <x:c r="H88" s="27" t="str">
        <x:v>课程/分野</x:v>
      </x:c>
      <x:c r="I88" s="44"/>
      <x:c r="J88" s="44"/>
      <x:c r="K88" s="44"/>
      <x:c r="L88" s="44"/>
      <x:c r="M88" s="44" t="n">
        <x:v>14</x:v>
      </x:c>
      <x:c r="N88" s="45" t="str">
        <x:f>IF(AND(J88&lt;&gt;"",L88&lt;&gt;0),J88/L88,"")</x:f>
      </x:c>
      <x:c r="O88" s="45" t="str">
        <x:f>IF(AND(K88&lt;&gt;"",L88&lt;&gt;0),K88/L88,"")</x:f>
      </x:c>
      <x:c r="P88" s="46" t="str">
        <x:f>IF(AND(K88&lt;&gt;"",K88&lt;&gt;0,L88&lt;&gt;""),L88/K88,"")</x:f>
      </x:c>
      <x:c r="Q88" s="46" t="str">
        <x:f>IF(AND(L88&lt;&gt;"",L88&lt;&gt;0,M88&lt;&gt;""),M88/L88,"")</x:f>
      </x:c>
      <x:c r="R88" s="45" t="str">
        <x:f>IF(N88&lt;&gt;"",N88,IF(O88&lt;&gt;"",O88,""))</x:f>
      </x:c>
      <x:c r="S88" s="2" t="str">
        <x:f>IF(N88&lt;&gt;"","志愿/合格",IF(O88&lt;&gt;"","受验/合格",""))</x:f>
      </x:c>
      <x:c r="T88" s="2" t="str">
        <x:v>官方</x:v>
      </x:c>
      <x:c r="U88" s="2" t="str">
        <x:v>高</x:v>
      </x:c>
      <x:c r="V88" s="27" t="str">
        <x:v>研究科データ</x:v>
      </x:c>
      <x:c r="W88" s="27" t="str">
        <x:v>Webページ「出身大学」表、修士課程・令和4/5年度の各コース計</x:v>
      </x:c>
      <x:c r="X88" s="27" t="str">
        <x:v>https://www.i.kyoto-u.ac.jp/admission/data/</x:v>
      </x:c>
      <x:c r="Y88" s="27" t="str">
        <x:v>コース単位の当該年度入学者総数。出身大学区分の列を合計した公式掲載値。</x:v>
      </x:c>
      <x:c r="Z88" s="47" t="str">
        <x:v>志願者・受験者・合格者はこの表に掲載なし。</x:v>
      </x:c>
    </x:row>
    <x:row r="89" ht="38" customHeight="1">
      <x:c r="A89" s="2" t="str">
        <x:v>京都大学</x:v>
      </x:c>
      <x:c r="B89" s="2" t="str">
        <x:v>情報学研究科</x:v>
      </x:c>
      <x:c r="C89" s="2" t="str">
        <x:v>先端数理科学コース</x:v>
      </x:c>
      <x:c r="D89" s="44" t="n">
        <x:v>2025</x:v>
      </x:c>
      <x:c r="E89" s="27" t="str">
        <x:v>独自日程</x:v>
      </x:c>
      <x:c r="F89" s="27" t="str">
        <x:v>修士課程</x:v>
      </x:c>
      <x:c r="G89" s="27" t="str">
        <x:v>一般選抜（合格発表掲載範囲）</x:v>
      </x:c>
      <x:c r="H89" s="27" t="str">
        <x:v>课程/分野</x:v>
      </x:c>
      <x:c r="I89" s="44"/>
      <x:c r="J89" s="44"/>
      <x:c r="K89" s="44"/>
      <x:c r="L89" s="44" t="n">
        <x:v>14</x:v>
      </x:c>
      <x:c r="M89" s="44"/>
      <x:c r="N89" s="45" t="str">
        <x:f>IF(AND(J89&lt;&gt;"",L89&lt;&gt;0),J89/L89,"")</x:f>
      </x:c>
      <x:c r="O89" s="45" t="str">
        <x:f>IF(AND(K89&lt;&gt;"",L89&lt;&gt;0),K89/L89,"")</x:f>
      </x:c>
      <x:c r="P89" s="46" t="str">
        <x:f>IF(AND(K89&lt;&gt;"",K89&lt;&gt;0,L89&lt;&gt;""),L89/K89,"")</x:f>
      </x:c>
      <x:c r="Q89" s="46" t="str">
        <x:f>IF(AND(L89&lt;&gt;"",L89&lt;&gt;0,M89&lt;&gt;""),M89/L89,"")</x:f>
      </x:c>
      <x:c r="R89" s="45" t="str">
        <x:f>IF(N89&lt;&gt;"",N89,IF(O89&lt;&gt;"",O89,""))</x:f>
      </x:c>
      <x:c r="S89" s="2" t="str">
        <x:f>IF(N89&lt;&gt;"","志愿/合格",IF(O89&lt;&gt;"","受验/合格",""))</x:f>
      </x:c>
      <x:c r="T89" s="2" t="str">
        <x:v>官方</x:v>
      </x:c>
      <x:c r="U89" s="2" t="str">
        <x:v>高</x:v>
      </x:c>
      <x:c r="V89" s="27" t="str">
        <x:v>2025年度4月期入学 先端数理科学コース修士課程 合格者発表</x:v>
      </x:c>
      <x:c r="W89" s="27" t="str">
        <x:v>PDFのコース別合格者受験番号一覧（掲載番号を件数化）</x:v>
      </x:c>
      <x:c r="X89" s="27" t="str">
        <x:v>https://www.i.kyoto-u.ac.jp/assets/pdf/admission/pass/202407-master-AMS-h3A6.pdf</x:v>
      </x:c>
      <x:c r="Y89" s="27" t="str">
        <x:v>コース単位・当該日程のみ。別日程と合算していない。</x:v>
      </x:c>
      <x:c r="Z89" s="47" t="str">
        <x:v>公式PDFは合格者受験番号のみで、志願者・受験者数は非掲載。</x:v>
      </x:c>
    </x:row>
    <x:row r="90" ht="38" customHeight="1">
      <x:c r="A90" s="2" t="str">
        <x:v>京都大学</x:v>
      </x:c>
      <x:c r="B90" s="2" t="str">
        <x:v>情報学研究科</x:v>
      </x:c>
      <x:c r="C90" s="2" t="str">
        <x:v>先端数理科学コース</x:v>
      </x:c>
      <x:c r="D90" s="44" t="n">
        <x:v>2026</x:v>
      </x:c>
      <x:c r="E90" s="27" t="str">
        <x:v>4月期入学（全日程）</x:v>
      </x:c>
      <x:c r="F90" s="27" t="str">
        <x:v>修士課程</x:v>
      </x:c>
      <x:c r="G90" s="27" t="str">
        <x:v>募集要項記載のコース定員</x:v>
      </x:c>
      <x:c r="H90" s="27" t="str">
        <x:v>课程/分野</x:v>
      </x:c>
      <x:c r="I90" s="44" t="n">
        <x:v>14</x:v>
      </x:c>
      <x:c r="J90" s="44"/>
      <x:c r="K90" s="44"/>
      <x:c r="L90" s="44"/>
      <x:c r="M90" s="44"/>
      <x:c r="N90" s="45" t="str">
        <x:f>IF(AND(J90&lt;&gt;"",L90&lt;&gt;0),J90/L90,"")</x:f>
      </x:c>
      <x:c r="O90" s="45" t="str">
        <x:f>IF(AND(K90&lt;&gt;"",L90&lt;&gt;0),K90/L90,"")</x:f>
      </x:c>
      <x:c r="P90" s="46" t="str">
        <x:f>IF(AND(K90&lt;&gt;"",K90&lt;&gt;0,L90&lt;&gt;""),L90/K90,"")</x:f>
      </x:c>
      <x:c r="Q90" s="46" t="str">
        <x:f>IF(AND(L90&lt;&gt;"",L90&lt;&gt;0,M90&lt;&gt;""),M90/L90,"")</x:f>
      </x:c>
      <x:c r="R90" s="45" t="str">
        <x:f>IF(N90&lt;&gt;"",N90,IF(O90&lt;&gt;"",O90,""))</x:f>
      </x:c>
      <x:c r="S90" s="2" t="str">
        <x:f>IF(N90&lt;&gt;"","志愿/合格",IF(O90&lt;&gt;"","受验/合格",""))</x:f>
      </x:c>
      <x:c r="T90" s="2" t="str">
        <x:v>官方</x:v>
      </x:c>
      <x:c r="U90" s="2" t="str">
        <x:v>高</x:v>
      </x:c>
      <x:c r="V90" s="27" t="str">
        <x:v>2026年度4月期入学 修士課程学生募集要項</x:v>
      </x:c>
      <x:c r="W90" s="27" t="str">
        <x:v>PDF 1頁「募集人員」表</x:v>
      </x:c>
      <x:c r="X90" s="27" t="str">
        <x:v>https://www.i.kyoto-u.ac.jp/assets/pdf/admission/application/master-2026-4.pdf</x:v>
      </x:c>
      <x:c r="Y90" s="27" t="str">
        <x:v>コース単位の募集人員。夏期・冬期を通じた定員で、各日程への配分は非掲載。</x:v>
      </x:c>
      <x:c r="Z90" s="47" t="str">
        <x:v>志願者・合格者等とは別表のため、定員のみの行。</x:v>
      </x:c>
    </x:row>
    <x:row r="91" ht="38" customHeight="1">
      <x:c r="A91" s="2" t="str">
        <x:v>京都大学</x:v>
      </x:c>
      <x:c r="B91" s="2" t="str">
        <x:v>情報学研究科</x:v>
      </x:c>
      <x:c r="C91" s="2" t="str">
        <x:v>知能情報学コース</x:v>
      </x:c>
      <x:c r="D91" s="44" t="n">
        <x:v>2022</x:v>
      </x:c>
      <x:c r="E91" s="27" t="str">
        <x:v>4月入学</x:v>
      </x:c>
      <x:c r="F91" s="27" t="str">
        <x:v>修士課程</x:v>
      </x:c>
      <x:c r="G91" s="27" t="str">
        <x:v>全类别合计</x:v>
      </x:c>
      <x:c r="H91" s="27" t="str">
        <x:v>课程/分野</x:v>
      </x:c>
      <x:c r="I91" s="44"/>
      <x:c r="J91" s="44"/>
      <x:c r="K91" s="44"/>
      <x:c r="L91" s="44"/>
      <x:c r="M91" s="44" t="n">
        <x:v>44</x:v>
      </x:c>
      <x:c r="N91" s="45" t="str">
        <x:f>IF(AND(J91&lt;&gt;"",L91&lt;&gt;0),J91/L91,"")</x:f>
      </x:c>
      <x:c r="O91" s="45" t="str">
        <x:f>IF(AND(K91&lt;&gt;"",L91&lt;&gt;0),K91/L91,"")</x:f>
      </x:c>
      <x:c r="P91" s="46" t="str">
        <x:f>IF(AND(K91&lt;&gt;"",K91&lt;&gt;0,L91&lt;&gt;""),L91/K91,"")</x:f>
      </x:c>
      <x:c r="Q91" s="46" t="str">
        <x:f>IF(AND(L91&lt;&gt;"",L91&lt;&gt;0,M91&lt;&gt;""),M91/L91,"")</x:f>
      </x:c>
      <x:c r="R91" s="45" t="str">
        <x:f>IF(N91&lt;&gt;"",N91,IF(O91&lt;&gt;"",O91,""))</x:f>
      </x:c>
      <x:c r="S91" s="2" t="str">
        <x:f>IF(N91&lt;&gt;"","志愿/合格",IF(O91&lt;&gt;"","受验/合格",""))</x:f>
      </x:c>
      <x:c r="T91" s="2" t="str">
        <x:v>官方</x:v>
      </x:c>
      <x:c r="U91" s="2" t="str">
        <x:v>高</x:v>
      </x:c>
      <x:c r="V91" s="27" t="str">
        <x:v>研究科データ</x:v>
      </x:c>
      <x:c r="W91" s="27" t="str">
        <x:v>Webページ「出身大学」表、修士課程・令和4/5年度の各コース計</x:v>
      </x:c>
      <x:c r="X91" s="27" t="str">
        <x:v>https://www.i.kyoto-u.ac.jp/admission/data/</x:v>
      </x:c>
      <x:c r="Y91" s="27" t="str">
        <x:v>コース単位の当該年度入学者総数。出身大学区分の列を合計した公式掲載値。</x:v>
      </x:c>
      <x:c r="Z91" s="47" t="str">
        <x:v>志願者・受験者・合格者はこの表に掲載なし。</x:v>
      </x:c>
    </x:row>
    <x:row r="92" ht="38" customHeight="1">
      <x:c r="A92" s="2" t="str">
        <x:v>京都大学</x:v>
      </x:c>
      <x:c r="B92" s="2" t="str">
        <x:v>情報学研究科</x:v>
      </x:c>
      <x:c r="C92" s="2" t="str">
        <x:v>知能情報学コース</x:v>
      </x:c>
      <x:c r="D92" s="44" t="n">
        <x:v>2023</x:v>
      </x:c>
      <x:c r="E92" s="27" t="str">
        <x:v>4月入学</x:v>
      </x:c>
      <x:c r="F92" s="27" t="str">
        <x:v>修士課程</x:v>
      </x:c>
      <x:c r="G92" s="27" t="str">
        <x:v>全类别合计</x:v>
      </x:c>
      <x:c r="H92" s="27" t="str">
        <x:v>课程/分野</x:v>
      </x:c>
      <x:c r="I92" s="44"/>
      <x:c r="J92" s="44"/>
      <x:c r="K92" s="44"/>
      <x:c r="L92" s="44"/>
      <x:c r="M92" s="44" t="n">
        <x:v>42</x:v>
      </x:c>
      <x:c r="N92" s="45" t="str">
        <x:f>IF(AND(J92&lt;&gt;"",L92&lt;&gt;0),J92/L92,"")</x:f>
      </x:c>
      <x:c r="O92" s="45" t="str">
        <x:f>IF(AND(K92&lt;&gt;"",L92&lt;&gt;0),K92/L92,"")</x:f>
      </x:c>
      <x:c r="P92" s="46" t="str">
        <x:f>IF(AND(K92&lt;&gt;"",K92&lt;&gt;0,L92&lt;&gt;""),L92/K92,"")</x:f>
      </x:c>
      <x:c r="Q92" s="46" t="str">
        <x:f>IF(AND(L92&lt;&gt;"",L92&lt;&gt;0,M92&lt;&gt;""),M92/L92,"")</x:f>
      </x:c>
      <x:c r="R92" s="45" t="str">
        <x:f>IF(N92&lt;&gt;"",N92,IF(O92&lt;&gt;"",O92,""))</x:f>
      </x:c>
      <x:c r="S92" s="2" t="str">
        <x:f>IF(N92&lt;&gt;"","志愿/合格",IF(O92&lt;&gt;"","受验/合格",""))</x:f>
      </x:c>
      <x:c r="T92" s="2" t="str">
        <x:v>官方</x:v>
      </x:c>
      <x:c r="U92" s="2" t="str">
        <x:v>高</x:v>
      </x:c>
      <x:c r="V92" s="27" t="str">
        <x:v>研究科データ</x:v>
      </x:c>
      <x:c r="W92" s="27" t="str">
        <x:v>Webページ「出身大学」表、修士課程・令和4/5年度の各コース計</x:v>
      </x:c>
      <x:c r="X92" s="27" t="str">
        <x:v>https://www.i.kyoto-u.ac.jp/admission/data/</x:v>
      </x:c>
      <x:c r="Y92" s="27" t="str">
        <x:v>コース単位の当該年度入学者総数。出身大学区分の列を合計した公式掲載値。</x:v>
      </x:c>
      <x:c r="Z92" s="47" t="str">
        <x:v>志願者・受験者・合格者はこの表に掲載なし。</x:v>
      </x:c>
    </x:row>
    <x:row r="93" ht="38" customHeight="1">
      <x:c r="A93" s="2" t="str">
        <x:v>京都大学</x:v>
      </x:c>
      <x:c r="B93" s="2" t="str">
        <x:v>情報学研究科</x:v>
      </x:c>
      <x:c r="C93" s="2" t="str">
        <x:v>知能情報学コース</x:v>
      </x:c>
      <x:c r="D93" s="44" t="n">
        <x:v>2025</x:v>
      </x:c>
      <x:c r="E93" s="27" t="str">
        <x:v>夏期入試</x:v>
      </x:c>
      <x:c r="F93" s="27" t="str">
        <x:v>修士課程</x:v>
      </x:c>
      <x:c r="G93" s="27" t="str">
        <x:v>一般選抜（合格発表掲載範囲）</x:v>
      </x:c>
      <x:c r="H93" s="27" t="str">
        <x:v>课程/分野</x:v>
      </x:c>
      <x:c r="I93" s="44"/>
      <x:c r="J93" s="44"/>
      <x:c r="K93" s="44"/>
      <x:c r="L93" s="44" t="n">
        <x:v>39</x:v>
      </x:c>
      <x:c r="M93" s="44"/>
      <x:c r="N93" s="45" t="str">
        <x:f>IF(AND(J93&lt;&gt;"",L93&lt;&gt;0),J93/L93,"")</x:f>
      </x:c>
      <x:c r="O93" s="45" t="str">
        <x:f>IF(AND(K93&lt;&gt;"",L93&lt;&gt;0),K93/L93,"")</x:f>
      </x:c>
      <x:c r="P93" s="46" t="str">
        <x:f>IF(AND(K93&lt;&gt;"",K93&lt;&gt;0,L93&lt;&gt;""),L93/K93,"")</x:f>
      </x:c>
      <x:c r="Q93" s="46" t="str">
        <x:f>IF(AND(L93&lt;&gt;"",L93&lt;&gt;0,M93&lt;&gt;""),M93/L93,"")</x:f>
      </x:c>
      <x:c r="R93" s="45" t="str">
        <x:f>IF(N93&lt;&gt;"",N93,IF(O93&lt;&gt;"",O93,""))</x:f>
      </x:c>
      <x:c r="S93" s="2" t="str">
        <x:f>IF(N93&lt;&gt;"","志愿/合格",IF(O93&lt;&gt;"","受验/合格",""))</x:f>
      </x:c>
      <x:c r="T93" s="2" t="str">
        <x:v>官方</x:v>
      </x:c>
      <x:c r="U93" s="2" t="str">
        <x:v>高</x:v>
      </x:c>
      <x:c r="V93" s="27" t="str">
        <x:v>2025年度4月期入学 修士課程夏期入学試験 合格者発表</x:v>
      </x:c>
      <x:c r="W93" s="27" t="str">
        <x:v>PDFのコース別合格者受験番号一覧（掲載番号を件数化）</x:v>
      </x:c>
      <x:c r="X93" s="27" t="str">
        <x:v>https://www.i.kyoto-u.ac.jp/assets/pdf/admission/pass/20240816_summer_m_ja_f9K7.pdf</x:v>
      </x:c>
      <x:c r="Y93" s="27" t="str">
        <x:v>コース単位・当該日程のみ。別日程と合算していない。</x:v>
      </x:c>
      <x:c r="Z93" s="47" t="str">
        <x:v>公式PDFは合格者受験番号のみで、志願者・受験者数は非掲載。</x:v>
      </x:c>
    </x:row>
    <x:row r="94" ht="38" customHeight="1">
      <x:c r="A94" s="2" t="str">
        <x:v>京都大学</x:v>
      </x:c>
      <x:c r="B94" s="2" t="str">
        <x:v>情報学研究科</x:v>
      </x:c>
      <x:c r="C94" s="2" t="str">
        <x:v>知能情報学コース</x:v>
      </x:c>
      <x:c r="D94" s="44" t="n">
        <x:v>2025</x:v>
      </x:c>
      <x:c r="E94" s="27" t="str">
        <x:v>冬期入試</x:v>
      </x:c>
      <x:c r="F94" s="27" t="str">
        <x:v>修士課程</x:v>
      </x:c>
      <x:c r="G94" s="27" t="str">
        <x:v>一般選抜（合格発表掲載範囲）</x:v>
      </x:c>
      <x:c r="H94" s="27" t="str">
        <x:v>课程/分野</x:v>
      </x:c>
      <x:c r="I94" s="44"/>
      <x:c r="J94" s="44"/>
      <x:c r="K94" s="44"/>
      <x:c r="L94" s="44" t="n">
        <x:v>2</x:v>
      </x:c>
      <x:c r="M94" s="44"/>
      <x:c r="N94" s="45" t="str">
        <x:f>IF(AND(J94&lt;&gt;"",L94&lt;&gt;0),J94/L94,"")</x:f>
      </x:c>
      <x:c r="O94" s="45" t="str">
        <x:f>IF(AND(K94&lt;&gt;"",L94&lt;&gt;0),K94/L94,"")</x:f>
      </x:c>
      <x:c r="P94" s="46" t="str">
        <x:f>IF(AND(K94&lt;&gt;"",K94&lt;&gt;0,L94&lt;&gt;""),L94/K94,"")</x:f>
      </x:c>
      <x:c r="Q94" s="46" t="str">
        <x:f>IF(AND(L94&lt;&gt;"",L94&lt;&gt;0,M94&lt;&gt;""),M94/L94,"")</x:f>
      </x:c>
      <x:c r="R94" s="45" t="str">
        <x:f>IF(N94&lt;&gt;"",N94,IF(O94&lt;&gt;"",O94,""))</x:f>
      </x:c>
      <x:c r="S94" s="2" t="str">
        <x:f>IF(N94&lt;&gt;"","志愿/合格",IF(O94&lt;&gt;"","受验/合格",""))</x:f>
      </x:c>
      <x:c r="T94" s="2" t="str">
        <x:v>官方</x:v>
      </x:c>
      <x:c r="U94" s="2" t="str">
        <x:v>高</x:v>
      </x:c>
      <x:c r="V94" s="27" t="str">
        <x:v>2025年度4月期入学 修士課程冬期入学試験 合格者発表</x:v>
      </x:c>
      <x:c r="W94" s="27" t="str">
        <x:v>PDFのコース別合格者受験番号一覧（掲載番号を件数化）</x:v>
      </x:c>
      <x:c r="X94" s="27" t="str">
        <x:v>https://www.i.kyoto-u.ac.jp/assets/pdf/admission/pass/20250214_winter_m_ja_3kFs.pdf</x:v>
      </x:c>
      <x:c r="Y94" s="27" t="str">
        <x:v>コース単位・当該日程のみ。別日程と合算していない。</x:v>
      </x:c>
      <x:c r="Z94" s="47" t="str">
        <x:v>公式PDFは合格者受験番号のみで、志願者・受験者数は非掲載。</x:v>
      </x:c>
    </x:row>
    <x:row r="95" ht="38" customHeight="1">
      <x:c r="A95" s="2" t="str">
        <x:v>京都大学</x:v>
      </x:c>
      <x:c r="B95" s="2" t="str">
        <x:v>情報学研究科</x:v>
      </x:c>
      <x:c r="C95" s="2" t="str">
        <x:v>知能情報学コース</x:v>
      </x:c>
      <x:c r="D95" s="44" t="n">
        <x:v>2026</x:v>
      </x:c>
      <x:c r="E95" s="27" t="str">
        <x:v>4月期入学（全日程）</x:v>
      </x:c>
      <x:c r="F95" s="27" t="str">
        <x:v>修士課程</x:v>
      </x:c>
      <x:c r="G95" s="27" t="str">
        <x:v>募集要項記載のコース定員</x:v>
      </x:c>
      <x:c r="H95" s="27" t="str">
        <x:v>课程/分野</x:v>
      </x:c>
      <x:c r="I95" s="44" t="n">
        <x:v>33</x:v>
      </x:c>
      <x:c r="J95" s="44"/>
      <x:c r="K95" s="44"/>
      <x:c r="L95" s="44"/>
      <x:c r="M95" s="44"/>
      <x:c r="N95" s="45" t="str">
        <x:f>IF(AND(J95&lt;&gt;"",L95&lt;&gt;0),J95/L95,"")</x:f>
      </x:c>
      <x:c r="O95" s="45" t="str">
        <x:f>IF(AND(K95&lt;&gt;"",L95&lt;&gt;0),K95/L95,"")</x:f>
      </x:c>
      <x:c r="P95" s="46" t="str">
        <x:f>IF(AND(K95&lt;&gt;"",K95&lt;&gt;0,L95&lt;&gt;""),L95/K95,"")</x:f>
      </x:c>
      <x:c r="Q95" s="46" t="str">
        <x:f>IF(AND(L95&lt;&gt;"",L95&lt;&gt;0,M95&lt;&gt;""),M95/L95,"")</x:f>
      </x:c>
      <x:c r="R95" s="45" t="str">
        <x:f>IF(N95&lt;&gt;"",N95,IF(O95&lt;&gt;"",O95,""))</x:f>
      </x:c>
      <x:c r="S95" s="2" t="str">
        <x:f>IF(N95&lt;&gt;"","志愿/合格",IF(O95&lt;&gt;"","受验/合格",""))</x:f>
      </x:c>
      <x:c r="T95" s="2" t="str">
        <x:v>官方</x:v>
      </x:c>
      <x:c r="U95" s="2" t="str">
        <x:v>高</x:v>
      </x:c>
      <x:c r="V95" s="27" t="str">
        <x:v>2026年度4月期入学 修士課程学生募集要項</x:v>
      </x:c>
      <x:c r="W95" s="27" t="str">
        <x:v>PDF 1頁「募集人員」表</x:v>
      </x:c>
      <x:c r="X95" s="27" t="str">
        <x:v>https://www.i.kyoto-u.ac.jp/assets/pdf/admission/application/master-2026-4.pdf</x:v>
      </x:c>
      <x:c r="Y95" s="27" t="str">
        <x:v>コース単位の募集人員。夏期・冬期を通じた定員で、各日程への配分は非掲載。</x:v>
      </x:c>
      <x:c r="Z95" s="47" t="str">
        <x:v>志願者・合格者等とは別表のため、定員のみの行。</x:v>
      </x:c>
    </x:row>
    <x:row r="96" ht="38" customHeight="1">
      <x:c r="A96" s="2" t="str">
        <x:v>京都大学</x:v>
      </x:c>
      <x:c r="B96" s="2" t="str">
        <x:v>情報学研究科</x:v>
      </x:c>
      <x:c r="C96" s="2" t="str">
        <x:v>知能情報学コース</x:v>
      </x:c>
      <x:c r="D96" s="44" t="n">
        <x:v>2026</x:v>
      </x:c>
      <x:c r="E96" s="27" t="str">
        <x:v>夏期入試</x:v>
      </x:c>
      <x:c r="F96" s="27" t="str">
        <x:v>修士課程</x:v>
      </x:c>
      <x:c r="G96" s="27" t="str">
        <x:v>一般選抜（合格発表掲載範囲）</x:v>
      </x:c>
      <x:c r="H96" s="27" t="str">
        <x:v>课程/分野</x:v>
      </x:c>
      <x:c r="I96" s="44"/>
      <x:c r="J96" s="44"/>
      <x:c r="K96" s="44"/>
      <x:c r="L96" s="44" t="n">
        <x:v>37</x:v>
      </x:c>
      <x:c r="M96" s="44"/>
      <x:c r="N96" s="45" t="str">
        <x:f>IF(AND(J96&lt;&gt;"",L96&lt;&gt;0),J96/L96,"")</x:f>
      </x:c>
      <x:c r="O96" s="45" t="str">
        <x:f>IF(AND(K96&lt;&gt;"",L96&lt;&gt;0),K96/L96,"")</x:f>
      </x:c>
      <x:c r="P96" s="46" t="str">
        <x:f>IF(AND(K96&lt;&gt;"",K96&lt;&gt;0,L96&lt;&gt;""),L96/K96,"")</x:f>
      </x:c>
      <x:c r="Q96" s="46" t="str">
        <x:f>IF(AND(L96&lt;&gt;"",L96&lt;&gt;0,M96&lt;&gt;""),M96/L96,"")</x:f>
      </x:c>
      <x:c r="R96" s="45" t="str">
        <x:f>IF(N96&lt;&gt;"",N96,IF(O96&lt;&gt;"",O96,""))</x:f>
      </x:c>
      <x:c r="S96" s="2" t="str">
        <x:f>IF(N96&lt;&gt;"","志愿/合格",IF(O96&lt;&gt;"","受验/合格",""))</x:f>
      </x:c>
      <x:c r="T96" s="2" t="str">
        <x:v>官方</x:v>
      </x:c>
      <x:c r="U96" s="2" t="str">
        <x:v>高</x:v>
      </x:c>
      <x:c r="V96" s="27" t="str">
        <x:v>2026年度4月期入学 修士課程夏期入学試験 合格者発表</x:v>
      </x:c>
      <x:c r="W96" s="27" t="str">
        <x:v>PDFのコース別合格者受験番号一覧（掲載番号を件数化）</x:v>
      </x:c>
      <x:c r="X96" s="27" t="str">
        <x:v>https://www.i.kyoto-u.ac.jp/assets/pdf/admission/pass/20250815-summer-m-ja-cFN4.pdf</x:v>
      </x:c>
      <x:c r="Y96" s="27" t="str">
        <x:v>コース単位・当該日程のみ。別日程と合算していない。</x:v>
      </x:c>
      <x:c r="Z96" s="47" t="str">
        <x:v>公式PDFは合格者受験番号のみで、志願者・受験者数は非掲載。</x:v>
      </x:c>
    </x:row>
    <x:row r="97" ht="38" customHeight="1">
      <x:c r="A97" s="2" t="str">
        <x:v>京都大学</x:v>
      </x:c>
      <x:c r="B97" s="2" t="str">
        <x:v>情報学研究科</x:v>
      </x:c>
      <x:c r="C97" s="2" t="str">
        <x:v>通信情報システムコース</x:v>
      </x:c>
      <x:c r="D97" s="44" t="n">
        <x:v>2022</x:v>
      </x:c>
      <x:c r="E97" s="27" t="str">
        <x:v>4月入学</x:v>
      </x:c>
      <x:c r="F97" s="27" t="str">
        <x:v>修士課程</x:v>
      </x:c>
      <x:c r="G97" s="27" t="str">
        <x:v>全类别合计</x:v>
      </x:c>
      <x:c r="H97" s="27" t="str">
        <x:v>课程/分野</x:v>
      </x:c>
      <x:c r="I97" s="44"/>
      <x:c r="J97" s="44"/>
      <x:c r="K97" s="44"/>
      <x:c r="L97" s="44"/>
      <x:c r="M97" s="44" t="n">
        <x:v>45</x:v>
      </x:c>
      <x:c r="N97" s="45" t="str">
        <x:f>IF(AND(J97&lt;&gt;"",L97&lt;&gt;0),J97/L97,"")</x:f>
      </x:c>
      <x:c r="O97" s="45" t="str">
        <x:f>IF(AND(K97&lt;&gt;"",L97&lt;&gt;0),K97/L97,"")</x:f>
      </x:c>
      <x:c r="P97" s="46" t="str">
        <x:f>IF(AND(K97&lt;&gt;"",K97&lt;&gt;0,L97&lt;&gt;""),L97/K97,"")</x:f>
      </x:c>
      <x:c r="Q97" s="46" t="str">
        <x:f>IF(AND(L97&lt;&gt;"",L97&lt;&gt;0,M97&lt;&gt;""),M97/L97,"")</x:f>
      </x:c>
      <x:c r="R97" s="45" t="str">
        <x:f>IF(N97&lt;&gt;"",N97,IF(O97&lt;&gt;"",O97,""))</x:f>
      </x:c>
      <x:c r="S97" s="2" t="str">
        <x:f>IF(N97&lt;&gt;"","志愿/合格",IF(O97&lt;&gt;"","受验/合格",""))</x:f>
      </x:c>
      <x:c r="T97" s="2" t="str">
        <x:v>官方</x:v>
      </x:c>
      <x:c r="U97" s="2" t="str">
        <x:v>高</x:v>
      </x:c>
      <x:c r="V97" s="27" t="str">
        <x:v>研究科データ</x:v>
      </x:c>
      <x:c r="W97" s="27" t="str">
        <x:v>Webページ「出身大学」表、修士課程・令和4/5年度の各コース計</x:v>
      </x:c>
      <x:c r="X97" s="27" t="str">
        <x:v>https://www.i.kyoto-u.ac.jp/admission/data/</x:v>
      </x:c>
      <x:c r="Y97" s="27" t="str">
        <x:v>コース単位の当該年度入学者総数。出身大学区分の列を合計した公式掲載値。</x:v>
      </x:c>
      <x:c r="Z97" s="47" t="str">
        <x:v>志願者・受験者・合格者はこの表に掲載なし。</x:v>
      </x:c>
    </x:row>
    <x:row r="98" ht="38" customHeight="1">
      <x:c r="A98" s="2" t="str">
        <x:v>京都大学</x:v>
      </x:c>
      <x:c r="B98" s="2" t="str">
        <x:v>情報学研究科</x:v>
      </x:c>
      <x:c r="C98" s="2" t="str">
        <x:v>通信情報システムコース</x:v>
      </x:c>
      <x:c r="D98" s="44" t="n">
        <x:v>2023</x:v>
      </x:c>
      <x:c r="E98" s="27" t="str">
        <x:v>4月入学</x:v>
      </x:c>
      <x:c r="F98" s="27" t="str">
        <x:v>修士課程</x:v>
      </x:c>
      <x:c r="G98" s="27" t="str">
        <x:v>全类别合计</x:v>
      </x:c>
      <x:c r="H98" s="27" t="str">
        <x:v>课程/分野</x:v>
      </x:c>
      <x:c r="I98" s="44"/>
      <x:c r="J98" s="44"/>
      <x:c r="K98" s="44"/>
      <x:c r="L98" s="44"/>
      <x:c r="M98" s="44" t="n">
        <x:v>46</x:v>
      </x:c>
      <x:c r="N98" s="45" t="str">
        <x:f>IF(AND(J98&lt;&gt;"",L98&lt;&gt;0),J98/L98,"")</x:f>
      </x:c>
      <x:c r="O98" s="45" t="str">
        <x:f>IF(AND(K98&lt;&gt;"",L98&lt;&gt;0),K98/L98,"")</x:f>
      </x:c>
      <x:c r="P98" s="46" t="str">
        <x:f>IF(AND(K98&lt;&gt;"",K98&lt;&gt;0,L98&lt;&gt;""),L98/K98,"")</x:f>
      </x:c>
      <x:c r="Q98" s="46" t="str">
        <x:f>IF(AND(L98&lt;&gt;"",L98&lt;&gt;0,M98&lt;&gt;""),M98/L98,"")</x:f>
      </x:c>
      <x:c r="R98" s="45" t="str">
        <x:f>IF(N98&lt;&gt;"",N98,IF(O98&lt;&gt;"",O98,""))</x:f>
      </x:c>
      <x:c r="S98" s="2" t="str">
        <x:f>IF(N98&lt;&gt;"","志愿/合格",IF(O98&lt;&gt;"","受验/合格",""))</x:f>
      </x:c>
      <x:c r="T98" s="2" t="str">
        <x:v>官方</x:v>
      </x:c>
      <x:c r="U98" s="2" t="str">
        <x:v>高</x:v>
      </x:c>
      <x:c r="V98" s="27" t="str">
        <x:v>研究科データ</x:v>
      </x:c>
      <x:c r="W98" s="27" t="str">
        <x:v>Webページ「出身大学」表、修士課程・令和4/5年度の各コース計</x:v>
      </x:c>
      <x:c r="X98" s="27" t="str">
        <x:v>https://www.i.kyoto-u.ac.jp/admission/data/</x:v>
      </x:c>
      <x:c r="Y98" s="27" t="str">
        <x:v>コース単位の当該年度入学者総数。出身大学区分の列を合計した公式掲載値。</x:v>
      </x:c>
      <x:c r="Z98" s="47" t="str">
        <x:v>志願者・受験者・合格者はこの表に掲載なし。</x:v>
      </x:c>
    </x:row>
    <x:row r="99" ht="38" customHeight="1">
      <x:c r="A99" s="2" t="str">
        <x:v>京都大学</x:v>
      </x:c>
      <x:c r="B99" s="2" t="str">
        <x:v>情報学研究科</x:v>
      </x:c>
      <x:c r="C99" s="2" t="str">
        <x:v>通信情報システムコース</x:v>
      </x:c>
      <x:c r="D99" s="44" t="n">
        <x:v>2025</x:v>
      </x:c>
      <x:c r="E99" s="27" t="str">
        <x:v>夏期入試</x:v>
      </x:c>
      <x:c r="F99" s="27" t="str">
        <x:v>修士課程</x:v>
      </x:c>
      <x:c r="G99" s="27" t="str">
        <x:v>一般選抜（合格発表掲載範囲）</x:v>
      </x:c>
      <x:c r="H99" s="27" t="str">
        <x:v>课程/分野</x:v>
      </x:c>
      <x:c r="I99" s="44"/>
      <x:c r="J99" s="44"/>
      <x:c r="K99" s="44"/>
      <x:c r="L99" s="44" t="n">
        <x:v>47</x:v>
      </x:c>
      <x:c r="M99" s="44"/>
      <x:c r="N99" s="45" t="str">
        <x:f>IF(AND(J99&lt;&gt;"",L99&lt;&gt;0),J99/L99,"")</x:f>
      </x:c>
      <x:c r="O99" s="45" t="str">
        <x:f>IF(AND(K99&lt;&gt;"",L99&lt;&gt;0),K99/L99,"")</x:f>
      </x:c>
      <x:c r="P99" s="46" t="str">
        <x:f>IF(AND(K99&lt;&gt;"",K99&lt;&gt;0,L99&lt;&gt;""),L99/K99,"")</x:f>
      </x:c>
      <x:c r="Q99" s="46" t="str">
        <x:f>IF(AND(L99&lt;&gt;"",L99&lt;&gt;0,M99&lt;&gt;""),M99/L99,"")</x:f>
      </x:c>
      <x:c r="R99" s="45" t="str">
        <x:f>IF(N99&lt;&gt;"",N99,IF(O99&lt;&gt;"",O99,""))</x:f>
      </x:c>
      <x:c r="S99" s="2" t="str">
        <x:f>IF(N99&lt;&gt;"","志愿/合格",IF(O99&lt;&gt;"","受验/合格",""))</x:f>
      </x:c>
      <x:c r="T99" s="2" t="str">
        <x:v>官方</x:v>
      </x:c>
      <x:c r="U99" s="2" t="str">
        <x:v>高</x:v>
      </x:c>
      <x:c r="V99" s="27" t="str">
        <x:v>2025年度4月期入学 修士課程夏期入学試験 合格者発表</x:v>
      </x:c>
      <x:c r="W99" s="27" t="str">
        <x:v>PDFのコース別合格者受験番号一覧（掲載番号を件数化）</x:v>
      </x:c>
      <x:c r="X99" s="27" t="str">
        <x:v>https://www.i.kyoto-u.ac.jp/assets/pdf/admission/pass/20240816_summer_m_ja_f9K7.pdf</x:v>
      </x:c>
      <x:c r="Y99" s="27" t="str">
        <x:v>コース単位・当該日程のみ。別日程と合算していない。</x:v>
      </x:c>
      <x:c r="Z99" s="47" t="str">
        <x:v>公式PDFは合格者受験番号のみで、志願者・受験者数は非掲載。</x:v>
      </x:c>
    </x:row>
    <x:row r="100" ht="38" customHeight="1">
      <x:c r="A100" s="2" t="str">
        <x:v>京都大学</x:v>
      </x:c>
      <x:c r="B100" s="2" t="str">
        <x:v>情報学研究科</x:v>
      </x:c>
      <x:c r="C100" s="2" t="str">
        <x:v>通信情報システムコース</x:v>
      </x:c>
      <x:c r="D100" s="44" t="n">
        <x:v>2025</x:v>
      </x:c>
      <x:c r="E100" s="27" t="str">
        <x:v>冬期入試</x:v>
      </x:c>
      <x:c r="F100" s="27" t="str">
        <x:v>修士課程</x:v>
      </x:c>
      <x:c r="G100" s="27" t="str">
        <x:v>一般選抜（合格発表掲載範囲）</x:v>
      </x:c>
      <x:c r="H100" s="27" t="str">
        <x:v>课程/分野</x:v>
      </x:c>
      <x:c r="I100" s="44"/>
      <x:c r="J100" s="44"/>
      <x:c r="K100" s="44"/>
      <x:c r="L100" s="44" t="n">
        <x:v>2</x:v>
      </x:c>
      <x:c r="M100" s="44"/>
      <x:c r="N100" s="45" t="str">
        <x:f>IF(AND(J100&lt;&gt;"",L100&lt;&gt;0),J100/L100,"")</x:f>
      </x:c>
      <x:c r="O100" s="45" t="str">
        <x:f>IF(AND(K100&lt;&gt;"",L100&lt;&gt;0),K100/L100,"")</x:f>
      </x:c>
      <x:c r="P100" s="46" t="str">
        <x:f>IF(AND(K100&lt;&gt;"",K100&lt;&gt;0,L100&lt;&gt;""),L100/K100,"")</x:f>
      </x:c>
      <x:c r="Q100" s="46" t="str">
        <x:f>IF(AND(L100&lt;&gt;"",L100&lt;&gt;0,M100&lt;&gt;""),M100/L100,"")</x:f>
      </x:c>
      <x:c r="R100" s="45" t="str">
        <x:f>IF(N100&lt;&gt;"",N100,IF(O100&lt;&gt;"",O100,""))</x:f>
      </x:c>
      <x:c r="S100" s="2" t="str">
        <x:f>IF(N100&lt;&gt;"","志愿/合格",IF(O100&lt;&gt;"","受验/合格",""))</x:f>
      </x:c>
      <x:c r="T100" s="2" t="str">
        <x:v>官方</x:v>
      </x:c>
      <x:c r="U100" s="2" t="str">
        <x:v>高</x:v>
      </x:c>
      <x:c r="V100" s="27" t="str">
        <x:v>2025年度4月期入学 修士課程冬期入学試験 合格者発表</x:v>
      </x:c>
      <x:c r="W100" s="27" t="str">
        <x:v>PDFのコース別合格者受験番号一覧（掲載番号を件数化）</x:v>
      </x:c>
      <x:c r="X100" s="27" t="str">
        <x:v>https://www.i.kyoto-u.ac.jp/assets/pdf/admission/pass/20250214_winter_m_ja_3kFs.pdf</x:v>
      </x:c>
      <x:c r="Y100" s="27" t="str">
        <x:v>コース単位・当該日程のみ。別日程と合算していない。</x:v>
      </x:c>
      <x:c r="Z100" s="47" t="str">
        <x:v>公式PDFは合格者受験番号のみで、志願者・受験者数は非掲載。</x:v>
      </x:c>
    </x:row>
    <x:row r="101" ht="38" customHeight="1">
      <x:c r="A101" s="2" t="str">
        <x:v>京都大学</x:v>
      </x:c>
      <x:c r="B101" s="2" t="str">
        <x:v>情報学研究科</x:v>
      </x:c>
      <x:c r="C101" s="2" t="str">
        <x:v>通信情報システムコース</x:v>
      </x:c>
      <x:c r="D101" s="44" t="n">
        <x:v>2026</x:v>
      </x:c>
      <x:c r="E101" s="27" t="str">
        <x:v>4月期入学（全日程）</x:v>
      </x:c>
      <x:c r="F101" s="27" t="str">
        <x:v>修士課程</x:v>
      </x:c>
      <x:c r="G101" s="27" t="str">
        <x:v>募集要項記載のコース定員</x:v>
      </x:c>
      <x:c r="H101" s="27" t="str">
        <x:v>课程/分野</x:v>
      </x:c>
      <x:c r="I101" s="44" t="n">
        <x:v>48</x:v>
      </x:c>
      <x:c r="J101" s="44"/>
      <x:c r="K101" s="44"/>
      <x:c r="L101" s="44"/>
      <x:c r="M101" s="44"/>
      <x:c r="N101" s="45" t="str">
        <x:f>IF(AND(J101&lt;&gt;"",L101&lt;&gt;0),J101/L101,"")</x:f>
      </x:c>
      <x:c r="O101" s="45" t="str">
        <x:f>IF(AND(K101&lt;&gt;"",L101&lt;&gt;0),K101/L101,"")</x:f>
      </x:c>
      <x:c r="P101" s="46" t="str">
        <x:f>IF(AND(K101&lt;&gt;"",K101&lt;&gt;0,L101&lt;&gt;""),L101/K101,"")</x:f>
      </x:c>
      <x:c r="Q101" s="46" t="str">
        <x:f>IF(AND(L101&lt;&gt;"",L101&lt;&gt;0,M101&lt;&gt;""),M101/L101,"")</x:f>
      </x:c>
      <x:c r="R101" s="45" t="str">
        <x:f>IF(N101&lt;&gt;"",N101,IF(O101&lt;&gt;"",O101,""))</x:f>
      </x:c>
      <x:c r="S101" s="2" t="str">
        <x:f>IF(N101&lt;&gt;"","志愿/合格",IF(O101&lt;&gt;"","受验/合格",""))</x:f>
      </x:c>
      <x:c r="T101" s="2" t="str">
        <x:v>官方</x:v>
      </x:c>
      <x:c r="U101" s="2" t="str">
        <x:v>高</x:v>
      </x:c>
      <x:c r="V101" s="27" t="str">
        <x:v>2026年度4月期入学 修士課程学生募集要項</x:v>
      </x:c>
      <x:c r="W101" s="27" t="str">
        <x:v>PDF 1頁「募集人員」表</x:v>
      </x:c>
      <x:c r="X101" s="27" t="str">
        <x:v>https://www.i.kyoto-u.ac.jp/assets/pdf/admission/application/master-2026-4.pdf</x:v>
      </x:c>
      <x:c r="Y101" s="27" t="str">
        <x:v>コース単位の募集人員。夏期・冬期を通じた定員で、各日程への配分は非掲載。</x:v>
      </x:c>
      <x:c r="Z101" s="47" t="str">
        <x:v>志願者・合格者等とは別表のため、定員のみの行。</x:v>
      </x:c>
    </x:row>
    <x:row r="102" ht="38" customHeight="1">
      <x:c r="A102" s="2" t="str">
        <x:v>京都大学</x:v>
      </x:c>
      <x:c r="B102" s="2" t="str">
        <x:v>情報学研究科</x:v>
      </x:c>
      <x:c r="C102" s="2" t="str">
        <x:v>通信情報システムコース</x:v>
      </x:c>
      <x:c r="D102" s="44" t="n">
        <x:v>2026</x:v>
      </x:c>
      <x:c r="E102" s="27" t="str">
        <x:v>夏期入試</x:v>
      </x:c>
      <x:c r="F102" s="27" t="str">
        <x:v>修士課程</x:v>
      </x:c>
      <x:c r="G102" s="27" t="str">
        <x:v>一般選抜（合格発表掲載範囲）</x:v>
      </x:c>
      <x:c r="H102" s="27" t="str">
        <x:v>课程/分野</x:v>
      </x:c>
      <x:c r="I102" s="44"/>
      <x:c r="J102" s="44"/>
      <x:c r="K102" s="44"/>
      <x:c r="L102" s="44" t="n">
        <x:v>46</x:v>
      </x:c>
      <x:c r="M102" s="44"/>
      <x:c r="N102" s="45" t="str">
        <x:f>IF(AND(J102&lt;&gt;"",L102&lt;&gt;0),J102/L102,"")</x:f>
      </x:c>
      <x:c r="O102" s="45" t="str">
        <x:f>IF(AND(K102&lt;&gt;"",L102&lt;&gt;0),K102/L102,"")</x:f>
      </x:c>
      <x:c r="P102" s="46" t="str">
        <x:f>IF(AND(K102&lt;&gt;"",K102&lt;&gt;0,L102&lt;&gt;""),L102/K102,"")</x:f>
      </x:c>
      <x:c r="Q102" s="46" t="str">
        <x:f>IF(AND(L102&lt;&gt;"",L102&lt;&gt;0,M102&lt;&gt;""),M102/L102,"")</x:f>
      </x:c>
      <x:c r="R102" s="45" t="str">
        <x:f>IF(N102&lt;&gt;"",N102,IF(O102&lt;&gt;"",O102,""))</x:f>
      </x:c>
      <x:c r="S102" s="2" t="str">
        <x:f>IF(N102&lt;&gt;"","志愿/合格",IF(O102&lt;&gt;"","受验/合格",""))</x:f>
      </x:c>
      <x:c r="T102" s="2" t="str">
        <x:v>官方</x:v>
      </x:c>
      <x:c r="U102" s="2" t="str">
        <x:v>高</x:v>
      </x:c>
      <x:c r="V102" s="27" t="str">
        <x:v>2026年度4月期入学 修士課程夏期入学試験 合格者発表</x:v>
      </x:c>
      <x:c r="W102" s="27" t="str">
        <x:v>PDFのコース別合格者受験番号一覧（掲載番号を件数化）</x:v>
      </x:c>
      <x:c r="X102" s="27" t="str">
        <x:v>https://www.i.kyoto-u.ac.jp/assets/pdf/admission/pass/20250815-summer-m-ja-cFN4.pdf</x:v>
      </x:c>
      <x:c r="Y102" s="27" t="str">
        <x:v>コース単位・当該日程のみ。別日程と合算していない。</x:v>
      </x:c>
      <x:c r="Z102" s="47" t="str">
        <x:v>公式PDFは合格者受験番号のみで、志願者・受験者数は非掲載。</x:v>
      </x:c>
    </x:row>
    <x:row r="103" ht="38" customHeight="1">
      <x:c r="A103" s="2" t="str">
        <x:v>東北大学</x:v>
      </x:c>
      <x:c r="B103" s="2" t="str">
        <x:v>環境科学研究科</x:v>
      </x:c>
      <x:c r="C103" s="2" t="str">
        <x:v>エネルギー環境群</x:v>
      </x:c>
      <x:c r="D103" s="44" t="n">
        <x:v>2024</x:v>
      </x:c>
      <x:c r="E103" s="27" t="str">
        <x:v>秋季入試（2024年10月入学）</x:v>
      </x:c>
      <x:c r="F103" s="27" t="str">
        <x:v>博士課程前期2年の課程</x:v>
      </x:c>
      <x:c r="G103" s="27" t="str">
        <x:v>一般選抜</x:v>
      </x:c>
      <x:c r="H103" s="27" t="str">
        <x:v>课程/分野</x:v>
      </x:c>
      <x:c r="I103" s="44"/>
      <x:c r="J103" s="44" t="n">
        <x:v>1</x:v>
      </x:c>
      <x:c r="K103" s="44" t="n">
        <x:v>1</x:v>
      </x:c>
      <x:c r="L103" s="44" t="n">
        <x:v>1</x:v>
      </x:c>
      <x:c r="M103" s="44"/>
      <x:c r="N103" s="45" t="n">
        <x:f>IF(AND(J103&lt;&gt;"",L103&lt;&gt;0),J103/L103,"")</x:f>
        <x:v>1</x:v>
      </x:c>
      <x:c r="O103" s="45" t="n">
        <x:f>IF(AND(K103&lt;&gt;"",L103&lt;&gt;0),K103/L103,"")</x:f>
        <x:v>1</x:v>
      </x:c>
      <x:c r="P103" s="46" t="n">
        <x:f>IF(AND(K103&lt;&gt;"",K103&lt;&gt;0,L103&lt;&gt;""),L103/K103,"")</x:f>
        <x:v>1</x:v>
      </x:c>
      <x:c r="Q103" s="46" t="str">
        <x:f>IF(AND(L103&lt;&gt;"",L103&lt;&gt;0,M103&lt;&gt;""),M103/L103,"")</x:f>
      </x:c>
      <x:c r="R103" s="45" t="n">
        <x:f>IF(N103&lt;&gt;"",N103,IF(O103&lt;&gt;"",O103,""))</x:f>
        <x:v>1</x:v>
      </x:c>
      <x:c r="S103" s="2" t="str">
        <x:f>IF(N103&lt;&gt;"","志愿/合格",IF(O103&lt;&gt;"","受验/合格",""))</x:f>
        <x:v>志愿/合格</x:v>
      </x:c>
      <x:c r="T103" s="2" t="str">
        <x:v>官方</x:v>
      </x:c>
      <x:c r="U103" s="2" t="str">
        <x:v>高</x:v>
      </x:c>
      <x:c r="V103" s="27" t="str">
        <x:v>入学希望の方へ｜東北大学大学院 環境科学研究科</x:v>
      </x:c>
      <x:c r="W103" s="27" t="str">
        <x:v>Webページ「入学試験実施状況」エネルギー環境群の該当選抜行</x:v>
      </x:c>
      <x:c r="X103" s="27" t="str">
        <x:v>https://www.kankyo.tohoku.ac.jp/newstudent/senkouj.html</x:v>
      </x:c>
      <x:c r="Y103" s="27" t="str">
        <x:v>専攻横断の入試群単位。研究科または専攻の募集人員は群別に配分されていないためcapacityはnull。</x:v>
      </x:c>
      <x:c r="Z103" s="47" t="str">
        <x:v>同じ入学年度でも入試時期・選抜区分を分離。</x:v>
      </x:c>
    </x:row>
    <x:row r="104" ht="38" customHeight="1">
      <x:c r="A104" s="2" t="str">
        <x:v>東北大学</x:v>
      </x:c>
      <x:c r="B104" s="2" t="str">
        <x:v>環境科学研究科</x:v>
      </x:c>
      <x:c r="C104" s="2" t="str">
        <x:v>エネルギー環境群</x:v>
      </x:c>
      <x:c r="D104" s="44" t="n">
        <x:v>2024</x:v>
      </x:c>
      <x:c r="E104" s="27" t="str">
        <x:v>秋季入試（2024年10月入学）</x:v>
      </x:c>
      <x:c r="F104" s="27" t="str">
        <x:v>博士課程前期2年の課程</x:v>
      </x:c>
      <x:c r="G104" s="27" t="str">
        <x:v>外国人留学生等特別選抜</x:v>
      </x:c>
      <x:c r="H104" s="27" t="str">
        <x:v>课程/分野</x:v>
      </x:c>
      <x:c r="I104" s="44"/>
      <x:c r="J104" s="44" t="n">
        <x:v>2</x:v>
      </x:c>
      <x:c r="K104" s="44" t="n">
        <x:v>2</x:v>
      </x:c>
      <x:c r="L104" s="44" t="n">
        <x:v>2</x:v>
      </x:c>
      <x:c r="M104" s="44"/>
      <x:c r="N104" s="45" t="n">
        <x:f>IF(AND(J104&lt;&gt;"",L104&lt;&gt;0),J104/L104,"")</x:f>
        <x:v>1</x:v>
      </x:c>
      <x:c r="O104" s="45" t="n">
        <x:f>IF(AND(K104&lt;&gt;"",L104&lt;&gt;0),K104/L104,"")</x:f>
        <x:v>1</x:v>
      </x:c>
      <x:c r="P104" s="46" t="n">
        <x:f>IF(AND(K104&lt;&gt;"",K104&lt;&gt;0,L104&lt;&gt;""),L104/K104,"")</x:f>
        <x:v>1</x:v>
      </x:c>
      <x:c r="Q104" s="46" t="str">
        <x:f>IF(AND(L104&lt;&gt;"",L104&lt;&gt;0,M104&lt;&gt;""),M104/L104,"")</x:f>
      </x:c>
      <x:c r="R104" s="45" t="n">
        <x:f>IF(N104&lt;&gt;"",N104,IF(O104&lt;&gt;"",O104,""))</x:f>
        <x:v>1</x:v>
      </x:c>
      <x:c r="S104" s="2" t="str">
        <x:f>IF(N104&lt;&gt;"","志愿/合格",IF(O104&lt;&gt;"","受验/合格",""))</x:f>
        <x:v>志愿/合格</x:v>
      </x:c>
      <x:c r="T104" s="2" t="str">
        <x:v>官方</x:v>
      </x:c>
      <x:c r="U104" s="2" t="str">
        <x:v>高</x:v>
      </x:c>
      <x:c r="V104" s="27" t="str">
        <x:v>入学希望の方へ｜東北大学大学院 環境科学研究科</x:v>
      </x:c>
      <x:c r="W104" s="27" t="str">
        <x:v>Webページ「入学試験実施状況」エネルギー環境群の該当選抜行</x:v>
      </x:c>
      <x:c r="X104" s="27" t="str">
        <x:v>https://www.kankyo.tohoku.ac.jp/newstudent/senkouj.html</x:v>
      </x:c>
      <x:c r="Y104" s="27" t="str">
        <x:v>専攻横断の入試群単位。研究科または専攻の募集人員は群別に配分されていないためcapacityはnull。</x:v>
      </x:c>
      <x:c r="Z104" s="47" t="str">
        <x:v>同じ入学年度でも入試時期・選抜区分を分離。</x:v>
      </x:c>
    </x:row>
    <x:row r="105" ht="38" customHeight="1">
      <x:c r="A105" s="2" t="str">
        <x:v>東北大学</x:v>
      </x:c>
      <x:c r="B105" s="2" t="str">
        <x:v>環境科学研究科</x:v>
      </x:c>
      <x:c r="C105" s="2" t="str">
        <x:v>エネルギー環境群</x:v>
      </x:c>
      <x:c r="D105" s="44" t="n">
        <x:v>2025</x:v>
      </x:c>
      <x:c r="E105" s="27" t="str">
        <x:v>秋季入試（2025年4月入学）</x:v>
      </x:c>
      <x:c r="F105" s="27" t="str">
        <x:v>博士課程前期2年の課程</x:v>
      </x:c>
      <x:c r="G105" s="27" t="str">
        <x:v>一般選抜</x:v>
      </x:c>
      <x:c r="H105" s="27" t="str">
        <x:v>课程/分野</x:v>
      </x:c>
      <x:c r="I105" s="44"/>
      <x:c r="J105" s="44" t="n">
        <x:v>26</x:v>
      </x:c>
      <x:c r="K105" s="44" t="n">
        <x:v>25</x:v>
      </x:c>
      <x:c r="L105" s="44" t="n">
        <x:v>24</x:v>
      </x:c>
      <x:c r="M105" s="44"/>
      <x:c r="N105" s="45" t="n">
        <x:f>IF(AND(J105&lt;&gt;"",L105&lt;&gt;0),J105/L105,"")</x:f>
        <x:v>1.0833333333333333</x:v>
      </x:c>
      <x:c r="O105" s="45" t="n">
        <x:f>IF(AND(K105&lt;&gt;"",L105&lt;&gt;0),K105/L105,"")</x:f>
        <x:v>1.0416666666666667</x:v>
      </x:c>
      <x:c r="P105" s="46" t="n">
        <x:f>IF(AND(K105&lt;&gt;"",K105&lt;&gt;0,L105&lt;&gt;""),L105/K105,"")</x:f>
        <x:v>0.96</x:v>
      </x:c>
      <x:c r="Q105" s="46" t="str">
        <x:f>IF(AND(L105&lt;&gt;"",L105&lt;&gt;0,M105&lt;&gt;""),M105/L105,"")</x:f>
      </x:c>
      <x:c r="R105" s="45" t="n">
        <x:f>IF(N105&lt;&gt;"",N105,IF(O105&lt;&gt;"",O105,""))</x:f>
        <x:v>1.0833333333333333</x:v>
      </x:c>
      <x:c r="S105" s="2" t="str">
        <x:f>IF(N105&lt;&gt;"","志愿/合格",IF(O105&lt;&gt;"","受验/合格",""))</x:f>
        <x:v>志愿/合格</x:v>
      </x:c>
      <x:c r="T105" s="2" t="str">
        <x:v>官方</x:v>
      </x:c>
      <x:c r="U105" s="2" t="str">
        <x:v>高</x:v>
      </x:c>
      <x:c r="V105" s="27" t="str">
        <x:v>入学希望の方へ｜東北大学大学院 環境科学研究科</x:v>
      </x:c>
      <x:c r="W105" s="27" t="str">
        <x:v>Webページ「入学試験実施状況」エネルギー環境群の該当選抜行</x:v>
      </x:c>
      <x:c r="X105" s="27" t="str">
        <x:v>https://www.kankyo.tohoku.ac.jp/newstudent/senkouj.html</x:v>
      </x:c>
      <x:c r="Y105" s="27" t="str">
        <x:v>専攻横断の入試群単位。研究科または専攻の募集人員は群別に配分されていないためcapacityはnull。</x:v>
      </x:c>
      <x:c r="Z105" s="47" t="str">
        <x:v>同じ入学年度でも入試時期・選抜区分を分離。</x:v>
      </x:c>
    </x:row>
    <x:row r="106" ht="38" customHeight="1">
      <x:c r="A106" s="2" t="str">
        <x:v>東北大学</x:v>
      </x:c>
      <x:c r="B106" s="2" t="str">
        <x:v>環境科学研究科</x:v>
      </x:c>
      <x:c r="C106" s="2" t="str">
        <x:v>エネルギー環境群</x:v>
      </x:c>
      <x:c r="D106" s="44" t="n">
        <x:v>2025</x:v>
      </x:c>
      <x:c r="E106" s="27" t="str">
        <x:v>春季入試（2025年4月入学）</x:v>
      </x:c>
      <x:c r="F106" s="27" t="str">
        <x:v>博士課程前期2年の課程</x:v>
      </x:c>
      <x:c r="G106" s="27" t="str">
        <x:v>一般選抜</x:v>
      </x:c>
      <x:c r="H106" s="27" t="str">
        <x:v>课程/分野</x:v>
      </x:c>
      <x:c r="I106" s="44"/>
      <x:c r="J106" s="44" t="n">
        <x:v>4</x:v>
      </x:c>
      <x:c r="K106" s="44" t="n">
        <x:v>4</x:v>
      </x:c>
      <x:c r="L106" s="44" t="n">
        <x:v>3</x:v>
      </x:c>
      <x:c r="M106" s="44"/>
      <x:c r="N106" s="45" t="n">
        <x:f>IF(AND(J106&lt;&gt;"",L106&lt;&gt;0),J106/L106,"")</x:f>
        <x:v>1.3333333333333333</x:v>
      </x:c>
      <x:c r="O106" s="45" t="n">
        <x:f>IF(AND(K106&lt;&gt;"",L106&lt;&gt;0),K106/L106,"")</x:f>
        <x:v>1.3333333333333333</x:v>
      </x:c>
      <x:c r="P106" s="46" t="n">
        <x:f>IF(AND(K106&lt;&gt;"",K106&lt;&gt;0,L106&lt;&gt;""),L106/K106,"")</x:f>
        <x:v>0.75</x:v>
      </x:c>
      <x:c r="Q106" s="46" t="str">
        <x:f>IF(AND(L106&lt;&gt;"",L106&lt;&gt;0,M106&lt;&gt;""),M106/L106,"")</x:f>
      </x:c>
      <x:c r="R106" s="45" t="n">
        <x:f>IF(N106&lt;&gt;"",N106,IF(O106&lt;&gt;"",O106,""))</x:f>
        <x:v>1.3333333333333333</x:v>
      </x:c>
      <x:c r="S106" s="2" t="str">
        <x:f>IF(N106&lt;&gt;"","志愿/合格",IF(O106&lt;&gt;"","受验/合格",""))</x:f>
        <x:v>志愿/合格</x:v>
      </x:c>
      <x:c r="T106" s="2" t="str">
        <x:v>官方</x:v>
      </x:c>
      <x:c r="U106" s="2" t="str">
        <x:v>高</x:v>
      </x:c>
      <x:c r="V106" s="27" t="str">
        <x:v>入学希望の方へ｜東北大学大学院 環境科学研究科</x:v>
      </x:c>
      <x:c r="W106" s="27" t="str">
        <x:v>Webページ「入学試験実施状況」エネルギー環境群の該当選抜行</x:v>
      </x:c>
      <x:c r="X106" s="27" t="str">
        <x:v>https://www.kankyo.tohoku.ac.jp/newstudent/senkouj.html</x:v>
      </x:c>
      <x:c r="Y106" s="27" t="str">
        <x:v>専攻横断の入試群単位。研究科または専攻の募集人員は群別に配分されていないためcapacityはnull。</x:v>
      </x:c>
      <x:c r="Z106" s="47" t="str">
        <x:v>同じ入学年度でも入試時期・選抜区分を分離。</x:v>
      </x:c>
    </x:row>
    <x:row r="107" ht="38" customHeight="1">
      <x:c r="A107" s="2" t="str">
        <x:v>東北大学</x:v>
      </x:c>
      <x:c r="B107" s="2" t="str">
        <x:v>環境科学研究科</x:v>
      </x:c>
      <x:c r="C107" s="2" t="str">
        <x:v>エネルギー環境群</x:v>
      </x:c>
      <x:c r="D107" s="44" t="n">
        <x:v>2025</x:v>
      </x:c>
      <x:c r="E107" s="27" t="str">
        <x:v>推薦入学特別選抜（2025年4月入学）</x:v>
      </x:c>
      <x:c r="F107" s="27" t="str">
        <x:v>博士課程前期2年の課程</x:v>
      </x:c>
      <x:c r="G107" s="27" t="str">
        <x:v>推薦入学特別選抜</x:v>
      </x:c>
      <x:c r="H107" s="27" t="str">
        <x:v>课程/分野</x:v>
      </x:c>
      <x:c r="I107" s="44"/>
      <x:c r="J107" s="44" t="n">
        <x:v>3</x:v>
      </x:c>
      <x:c r="K107" s="44" t="n">
        <x:v>3</x:v>
      </x:c>
      <x:c r="L107" s="44" t="n">
        <x:v>3</x:v>
      </x:c>
      <x:c r="M107" s="44"/>
      <x:c r="N107" s="45" t="n">
        <x:f>IF(AND(J107&lt;&gt;"",L107&lt;&gt;0),J107/L107,"")</x:f>
        <x:v>1</x:v>
      </x:c>
      <x:c r="O107" s="45" t="n">
        <x:f>IF(AND(K107&lt;&gt;"",L107&lt;&gt;0),K107/L107,"")</x:f>
        <x:v>1</x:v>
      </x:c>
      <x:c r="P107" s="46" t="n">
        <x:f>IF(AND(K107&lt;&gt;"",K107&lt;&gt;0,L107&lt;&gt;""),L107/K107,"")</x:f>
        <x:v>1</x:v>
      </x:c>
      <x:c r="Q107" s="46" t="str">
        <x:f>IF(AND(L107&lt;&gt;"",L107&lt;&gt;0,M107&lt;&gt;""),M107/L107,"")</x:f>
      </x:c>
      <x:c r="R107" s="45" t="n">
        <x:f>IF(N107&lt;&gt;"",N107,IF(O107&lt;&gt;"",O107,""))</x:f>
        <x:v>1</x:v>
      </x:c>
      <x:c r="S107" s="2" t="str">
        <x:f>IF(N107&lt;&gt;"","志愿/合格",IF(O107&lt;&gt;"","受验/合格",""))</x:f>
        <x:v>志愿/合格</x:v>
      </x:c>
      <x:c r="T107" s="2" t="str">
        <x:v>官方</x:v>
      </x:c>
      <x:c r="U107" s="2" t="str">
        <x:v>高</x:v>
      </x:c>
      <x:c r="V107" s="27" t="str">
        <x:v>入学希望の方へ｜東北大学大学院 環境科学研究科</x:v>
      </x:c>
      <x:c r="W107" s="27" t="str">
        <x:v>Webページ「入学試験実施状況」エネルギー環境群の該当選抜行</x:v>
      </x:c>
      <x:c r="X107" s="27" t="str">
        <x:v>https://www.kankyo.tohoku.ac.jp/newstudent/senkouj.html</x:v>
      </x:c>
      <x:c r="Y107" s="27" t="str">
        <x:v>専攻横断の入試群単位。研究科または専攻の募集人員は群別に配分されていないためcapacityはnull。</x:v>
      </x:c>
      <x:c r="Z107" s="47" t="str">
        <x:v>同じ入学年度でも入試時期・選抜区分を分離。</x:v>
      </x:c>
    </x:row>
    <x:row r="108" ht="38" customHeight="1">
      <x:c r="A108" s="2" t="str">
        <x:v>東北大学</x:v>
      </x:c>
      <x:c r="B108" s="2" t="str">
        <x:v>理学研究科</x:v>
      </x:c>
      <x:c r="C108" s="2" t="str">
        <x:v>化学専攻</x:v>
      </x:c>
      <x:c r="D108" s="44" t="n">
        <x:v>2022</x:v>
      </x:c>
      <x:c r="E108" s="27" t="str">
        <x:v>全年合计</x:v>
      </x:c>
      <x:c r="F108" s="27" t="str">
        <x:v>博士課程前期2年の課程</x:v>
      </x:c>
      <x:c r="G108" s="27" t="str">
        <x:v>全类别合计</x:v>
      </x:c>
      <x:c r="H108" s="27" t="str">
        <x:v>专攻/系</x:v>
      </x:c>
      <x:c r="I108" s="44" t="n">
        <x:v>66</x:v>
      </x:c>
      <x:c r="J108" s="44" t="n">
        <x:v>70</x:v>
      </x:c>
      <x:c r="K108" s="44"/>
      <x:c r="L108" s="44"/>
      <x:c r="M108" s="44" t="n">
        <x:v>60</x:v>
      </x:c>
      <x:c r="N108" s="45" t="str">
        <x:f>IF(AND(J108&lt;&gt;"",L108&lt;&gt;0),J108/L108,"")</x:f>
      </x:c>
      <x:c r="O108" s="45" t="str">
        <x:f>IF(AND(K108&lt;&gt;"",L108&lt;&gt;0),K108/L108,"")</x:f>
      </x:c>
      <x:c r="P108" s="46" t="str">
        <x:f>IF(AND(K108&lt;&gt;"",K108&lt;&gt;0,L108&lt;&gt;""),L108/K108,"")</x:f>
      </x:c>
      <x:c r="Q108" s="46" t="str">
        <x:f>IF(AND(L108&lt;&gt;"",L108&lt;&gt;0,M108&lt;&gt;""),M108/L108,"")</x:f>
      </x:c>
      <x:c r="R108" s="45" t="str">
        <x:f>IF(N108&lt;&gt;"",N108,IF(O108&lt;&gt;"",O108,""))</x:f>
      </x:c>
      <x:c r="S108" s="2" t="str">
        <x:f>IF(N108&lt;&gt;"","志愿/合格",IF(O108&lt;&gt;"","受验/合格",""))</x:f>
      </x:c>
      <x:c r="T108" s="2" t="str">
        <x:v>官方</x:v>
      </x:c>
      <x:c r="U108" s="2" t="str">
        <x:v>高</x:v>
      </x:c>
      <x:c r="V108" s="27" t="str">
        <x:v>東北大学大学院理学研究科・理学部 概要2022</x:v>
      </x:c>
      <x:c r="W108" s="27" t="str">
        <x:v>PDF 5頁「入学者状況／大学院［博士課程前期2年の課程］」</x:v>
      </x:c>
      <x:c r="X108" s="27" t="str">
        <x:v>https://www.sci.tohoku.ac.jp/about/pdf/sci-gaiyo2022.pdf</x:v>
      </x:c>
      <x:c r="Y108" s="27" t="str">
        <x:v>専攻単位の年度合計。</x:v>
      </x:c>
      <x:c r="Z108" s="47" t="str">
        <x:v>合格者数・受験者数は概要表に掲載なし。</x:v>
      </x:c>
    </x:row>
    <x:row r="109" ht="38" customHeight="1">
      <x:c r="A109" s="2" t="str">
        <x:v>東北大学</x:v>
      </x:c>
      <x:c r="B109" s="2" t="str">
        <x:v>理学研究科</x:v>
      </x:c>
      <x:c r="C109" s="2" t="str">
        <x:v>化学専攻</x:v>
      </x:c>
      <x:c r="D109" s="44" t="n">
        <x:v>2023</x:v>
      </x:c>
      <x:c r="E109" s="27" t="str">
        <x:v>全年合计</x:v>
      </x:c>
      <x:c r="F109" s="27" t="str">
        <x:v>博士課程前期2年の課程</x:v>
      </x:c>
      <x:c r="G109" s="27" t="str">
        <x:v>全类别合计</x:v>
      </x:c>
      <x:c r="H109" s="27" t="str">
        <x:v>专攻/系</x:v>
      </x:c>
      <x:c r="I109" s="44" t="n">
        <x:v>66</x:v>
      </x:c>
      <x:c r="J109" s="44" t="n">
        <x:v>74</x:v>
      </x:c>
      <x:c r="K109" s="44"/>
      <x:c r="L109" s="44"/>
      <x:c r="M109" s="44" t="n">
        <x:v>70</x:v>
      </x:c>
      <x:c r="N109" s="45" t="str">
        <x:f>IF(AND(J109&lt;&gt;"",L109&lt;&gt;0),J109/L109,"")</x:f>
      </x:c>
      <x:c r="O109" s="45" t="str">
        <x:f>IF(AND(K109&lt;&gt;"",L109&lt;&gt;0),K109/L109,"")</x:f>
      </x:c>
      <x:c r="P109" s="46" t="str">
        <x:f>IF(AND(K109&lt;&gt;"",K109&lt;&gt;0,L109&lt;&gt;""),L109/K109,"")</x:f>
      </x:c>
      <x:c r="Q109" s="46" t="str">
        <x:f>IF(AND(L109&lt;&gt;"",L109&lt;&gt;0,M109&lt;&gt;""),M109/L109,"")</x:f>
      </x:c>
      <x:c r="R109" s="45" t="str">
        <x:f>IF(N109&lt;&gt;"",N109,IF(O109&lt;&gt;"",O109,""))</x:f>
      </x:c>
      <x:c r="S109" s="2" t="str">
        <x:f>IF(N109&lt;&gt;"","志愿/合格",IF(O109&lt;&gt;"","受验/合格",""))</x:f>
      </x:c>
      <x:c r="T109" s="2" t="str">
        <x:v>官方</x:v>
      </x:c>
      <x:c r="U109" s="2" t="str">
        <x:v>高</x:v>
      </x:c>
      <x:c r="V109" s="27" t="str">
        <x:v>東北大学大学院理学研究科・理学部 概要2023</x:v>
      </x:c>
      <x:c r="W109" s="27" t="str">
        <x:v>PDF 5頁「入学者状況／大学院［博士課程前期2年の課程］」</x:v>
      </x:c>
      <x:c r="X109" s="27" t="str">
        <x:v>https://www.sci.tohoku.ac.jp/about/pdf/sci-gaiyo2023.pdf</x:v>
      </x:c>
      <x:c r="Y109" s="27" t="str">
        <x:v>専攻単位の年度合計。</x:v>
      </x:c>
      <x:c r="Z109" s="47" t="str">
        <x:v>合格者数・受験者数は概要表に掲載なし。</x:v>
      </x:c>
    </x:row>
    <x:row r="110" ht="38" customHeight="1">
      <x:c r="A110" s="2" t="str">
        <x:v>東北大学</x:v>
      </x:c>
      <x:c r="B110" s="2" t="str">
        <x:v>理学研究科</x:v>
      </x:c>
      <x:c r="C110" s="2" t="str">
        <x:v>化学専攻</x:v>
      </x:c>
      <x:c r="D110" s="44" t="n">
        <x:v>2024</x:v>
      </x:c>
      <x:c r="E110" s="27" t="str">
        <x:v>全年合计</x:v>
      </x:c>
      <x:c r="F110" s="27" t="str">
        <x:v>博士課程前期2年の課程</x:v>
      </x:c>
      <x:c r="G110" s="27" t="str">
        <x:v>全类别合计</x:v>
      </x:c>
      <x:c r="H110" s="27" t="str">
        <x:v>专攻/系</x:v>
      </x:c>
      <x:c r="I110" s="44" t="n">
        <x:v>66</x:v>
      </x:c>
      <x:c r="J110" s="44" t="n">
        <x:v>74</x:v>
      </x:c>
      <x:c r="K110" s="44"/>
      <x:c r="L110" s="44"/>
      <x:c r="M110" s="44" t="n">
        <x:v>71</x:v>
      </x:c>
      <x:c r="N110" s="45" t="str">
        <x:f>IF(AND(J110&lt;&gt;"",L110&lt;&gt;0),J110/L110,"")</x:f>
      </x:c>
      <x:c r="O110" s="45" t="str">
        <x:f>IF(AND(K110&lt;&gt;"",L110&lt;&gt;0),K110/L110,"")</x:f>
      </x:c>
      <x:c r="P110" s="46" t="str">
        <x:f>IF(AND(K110&lt;&gt;"",K110&lt;&gt;0,L110&lt;&gt;""),L110/K110,"")</x:f>
      </x:c>
      <x:c r="Q110" s="46" t="str">
        <x:f>IF(AND(L110&lt;&gt;"",L110&lt;&gt;0,M110&lt;&gt;""),M110/L110,"")</x:f>
      </x:c>
      <x:c r="R110" s="45" t="str">
        <x:f>IF(N110&lt;&gt;"",N110,IF(O110&lt;&gt;"",O110,""))</x:f>
      </x:c>
      <x:c r="S110" s="2" t="str">
        <x:f>IF(N110&lt;&gt;"","志愿/合格",IF(O110&lt;&gt;"","受验/合格",""))</x:f>
      </x:c>
      <x:c r="T110" s="2" t="str">
        <x:v>官方</x:v>
      </x:c>
      <x:c r="U110" s="2" t="str">
        <x:v>高</x:v>
      </x:c>
      <x:c r="V110" s="27" t="str">
        <x:v>東北大学大学院理学研究科・理学部 概要2024</x:v>
      </x:c>
      <x:c r="W110" s="27" t="str">
        <x:v>PDF 5頁「入学者状況／大学院［博士課程前期2年の課程］」</x:v>
      </x:c>
      <x:c r="X110" s="27" t="str">
        <x:v>https://www.sci.tohoku.ac.jp/about/pdf/sci-gaiyo2024.pdf</x:v>
      </x:c>
      <x:c r="Y110" s="27" t="str">
        <x:v>専攻単位の年度合計。</x:v>
      </x:c>
      <x:c r="Z110" s="47" t="str">
        <x:v>合格者数・受験者数は概要表に掲載なし。</x:v>
      </x:c>
    </x:row>
    <x:row r="111" ht="38" customHeight="1">
      <x:c r="A111" s="2" t="str">
        <x:v>東北大学</x:v>
      </x:c>
      <x:c r="B111" s="2" t="str">
        <x:v>理学研究科</x:v>
      </x:c>
      <x:c r="C111" s="2" t="str">
        <x:v>化学専攻</x:v>
      </x:c>
      <x:c r="D111" s="44" t="n">
        <x:v>2025</x:v>
      </x:c>
      <x:c r="E111" s="27" t="str">
        <x:v>全年合计</x:v>
      </x:c>
      <x:c r="F111" s="27" t="str">
        <x:v>博士課程前期2年の課程</x:v>
      </x:c>
      <x:c r="G111" s="27" t="str">
        <x:v>全类别合计</x:v>
      </x:c>
      <x:c r="H111" s="27" t="str">
        <x:v>专攻/系</x:v>
      </x:c>
      <x:c r="I111" s="44" t="n">
        <x:v>66</x:v>
      </x:c>
      <x:c r="J111" s="44" t="n">
        <x:v>80</x:v>
      </x:c>
      <x:c r="K111" s="44"/>
      <x:c r="L111" s="44"/>
      <x:c r="M111" s="44" t="n">
        <x:v>70</x:v>
      </x:c>
      <x:c r="N111" s="45" t="str">
        <x:f>IF(AND(J111&lt;&gt;"",L111&lt;&gt;0),J111/L111,"")</x:f>
      </x:c>
      <x:c r="O111" s="45" t="str">
        <x:f>IF(AND(K111&lt;&gt;"",L111&lt;&gt;0),K111/L111,"")</x:f>
      </x:c>
      <x:c r="P111" s="46" t="str">
        <x:f>IF(AND(K111&lt;&gt;"",K111&lt;&gt;0,L111&lt;&gt;""),L111/K111,"")</x:f>
      </x:c>
      <x:c r="Q111" s="46" t="str">
        <x:f>IF(AND(L111&lt;&gt;"",L111&lt;&gt;0,M111&lt;&gt;""),M111/L111,"")</x:f>
      </x:c>
      <x:c r="R111" s="45" t="str">
        <x:f>IF(N111&lt;&gt;"",N111,IF(O111&lt;&gt;"",O111,""))</x:f>
      </x:c>
      <x:c r="S111" s="2" t="str">
        <x:f>IF(N111&lt;&gt;"","志愿/合格",IF(O111&lt;&gt;"","受验/合格",""))</x:f>
      </x:c>
      <x:c r="T111" s="2" t="str">
        <x:v>官方</x:v>
      </x:c>
      <x:c r="U111" s="2" t="str">
        <x:v>高</x:v>
      </x:c>
      <x:c r="V111" s="27" t="str">
        <x:v>東北大学大学院理学研究科・理学部 概要2025</x:v>
      </x:c>
      <x:c r="W111" s="27" t="str">
        <x:v>PDF 5頁「入学者状況／大学院［博士課程前期2年の課程］」</x:v>
      </x:c>
      <x:c r="X111" s="27" t="str">
        <x:v>https://www.sci.tohoku.ac.jp/about/pdf/sci-gaiyo2025.pdf</x:v>
      </x:c>
      <x:c r="Y111" s="27" t="str">
        <x:v>専攻単位の年度合計。</x:v>
      </x:c>
      <x:c r="Z111" s="47" t="str">
        <x:v>合格者数・受験者数は概要表に掲載なし。</x:v>
      </x:c>
    </x:row>
    <x:row r="112" ht="38" customHeight="1">
      <x:c r="A112" s="2" t="str">
        <x:v>東北大学</x:v>
      </x:c>
      <x:c r="B112" s="2" t="str">
        <x:v>理学研究科</x:v>
      </x:c>
      <x:c r="C112" s="2" t="str">
        <x:v>数学専攻</x:v>
      </x:c>
      <x:c r="D112" s="44" t="n">
        <x:v>2022</x:v>
      </x:c>
      <x:c r="E112" s="27" t="str">
        <x:v>全年合计</x:v>
      </x:c>
      <x:c r="F112" s="27" t="str">
        <x:v>博士課程前期2年の課程</x:v>
      </x:c>
      <x:c r="G112" s="27" t="str">
        <x:v>全类别合计</x:v>
      </x:c>
      <x:c r="H112" s="27" t="str">
        <x:v>专攻/系</x:v>
      </x:c>
      <x:c r="I112" s="44" t="n">
        <x:v>38</x:v>
      </x:c>
      <x:c r="J112" s="44" t="n">
        <x:v>44</x:v>
      </x:c>
      <x:c r="K112" s="44"/>
      <x:c r="L112" s="44"/>
      <x:c r="M112" s="44" t="n">
        <x:v>36</x:v>
      </x:c>
      <x:c r="N112" s="45" t="str">
        <x:f>IF(AND(J112&lt;&gt;"",L112&lt;&gt;0),J112/L112,"")</x:f>
      </x:c>
      <x:c r="O112" s="45" t="str">
        <x:f>IF(AND(K112&lt;&gt;"",L112&lt;&gt;0),K112/L112,"")</x:f>
      </x:c>
      <x:c r="P112" s="46" t="str">
        <x:f>IF(AND(K112&lt;&gt;"",K112&lt;&gt;0,L112&lt;&gt;""),L112/K112,"")</x:f>
      </x:c>
      <x:c r="Q112" s="46" t="str">
        <x:f>IF(AND(L112&lt;&gt;"",L112&lt;&gt;0,M112&lt;&gt;""),M112/L112,"")</x:f>
      </x:c>
      <x:c r="R112" s="45" t="str">
        <x:f>IF(N112&lt;&gt;"",N112,IF(O112&lt;&gt;"",O112,""))</x:f>
      </x:c>
      <x:c r="S112" s="2" t="str">
        <x:f>IF(N112&lt;&gt;"","志愿/合格",IF(O112&lt;&gt;"","受验/合格",""))</x:f>
      </x:c>
      <x:c r="T112" s="2" t="str">
        <x:v>官方</x:v>
      </x:c>
      <x:c r="U112" s="2" t="str">
        <x:v>高</x:v>
      </x:c>
      <x:c r="V112" s="27" t="str">
        <x:v>東北大学大学院理学研究科・理学部 概要2022</x:v>
      </x:c>
      <x:c r="W112" s="27" t="str">
        <x:v>PDF 5頁「入学者状況／大学院［博士課程前期2年の課程］」</x:v>
      </x:c>
      <x:c r="X112" s="27" t="str">
        <x:v>https://www.sci.tohoku.ac.jp/about/pdf/sci-gaiyo2022.pdf</x:v>
      </x:c>
      <x:c r="Y112" s="27" t="str">
        <x:v>専攻単位の年度合計。</x:v>
      </x:c>
      <x:c r="Z112" s="47" t="str">
        <x:v>合格者数・受験者数は概要表に掲載なし。</x:v>
      </x:c>
    </x:row>
    <x:row r="113" ht="38" customHeight="1">
      <x:c r="A113" s="2" t="str">
        <x:v>東北大学</x:v>
      </x:c>
      <x:c r="B113" s="2" t="str">
        <x:v>理学研究科</x:v>
      </x:c>
      <x:c r="C113" s="2" t="str">
        <x:v>数学専攻</x:v>
      </x:c>
      <x:c r="D113" s="44" t="n">
        <x:v>2023</x:v>
      </x:c>
      <x:c r="E113" s="27" t="str">
        <x:v>全年合计</x:v>
      </x:c>
      <x:c r="F113" s="27" t="str">
        <x:v>博士課程前期2年の課程</x:v>
      </x:c>
      <x:c r="G113" s="27" t="str">
        <x:v>全类别合计</x:v>
      </x:c>
      <x:c r="H113" s="27" t="str">
        <x:v>专攻/系</x:v>
      </x:c>
      <x:c r="I113" s="44" t="n">
        <x:v>38</x:v>
      </x:c>
      <x:c r="J113" s="44" t="n">
        <x:v>46</x:v>
      </x:c>
      <x:c r="K113" s="44"/>
      <x:c r="L113" s="44"/>
      <x:c r="M113" s="44" t="n">
        <x:v>33</x:v>
      </x:c>
      <x:c r="N113" s="45" t="str">
        <x:f>IF(AND(J113&lt;&gt;"",L113&lt;&gt;0),J113/L113,"")</x:f>
      </x:c>
      <x:c r="O113" s="45" t="str">
        <x:f>IF(AND(K113&lt;&gt;"",L113&lt;&gt;0),K113/L113,"")</x:f>
      </x:c>
      <x:c r="P113" s="46" t="str">
        <x:f>IF(AND(K113&lt;&gt;"",K113&lt;&gt;0,L113&lt;&gt;""),L113/K113,"")</x:f>
      </x:c>
      <x:c r="Q113" s="46" t="str">
        <x:f>IF(AND(L113&lt;&gt;"",L113&lt;&gt;0,M113&lt;&gt;""),M113/L113,"")</x:f>
      </x:c>
      <x:c r="R113" s="45" t="str">
        <x:f>IF(N113&lt;&gt;"",N113,IF(O113&lt;&gt;"",O113,""))</x:f>
      </x:c>
      <x:c r="S113" s="2" t="str">
        <x:f>IF(N113&lt;&gt;"","志愿/合格",IF(O113&lt;&gt;"","受验/合格",""))</x:f>
      </x:c>
      <x:c r="T113" s="2" t="str">
        <x:v>官方</x:v>
      </x:c>
      <x:c r="U113" s="2" t="str">
        <x:v>高</x:v>
      </x:c>
      <x:c r="V113" s="27" t="str">
        <x:v>東北大学大学院理学研究科・理学部 概要2023</x:v>
      </x:c>
      <x:c r="W113" s="27" t="str">
        <x:v>PDF 5頁「入学者状況／大学院［博士課程前期2年の課程］」</x:v>
      </x:c>
      <x:c r="X113" s="27" t="str">
        <x:v>https://www.sci.tohoku.ac.jp/about/pdf/sci-gaiyo2023.pdf</x:v>
      </x:c>
      <x:c r="Y113" s="27" t="str">
        <x:v>専攻単位の年度合計。</x:v>
      </x:c>
      <x:c r="Z113" s="47" t="str">
        <x:v>合格者数・受験者数は概要表に掲載なし。</x:v>
      </x:c>
    </x:row>
    <x:row r="114" ht="38" customHeight="1">
      <x:c r="A114" s="2" t="str">
        <x:v>東北大学</x:v>
      </x:c>
      <x:c r="B114" s="2" t="str">
        <x:v>理学研究科</x:v>
      </x:c>
      <x:c r="C114" s="2" t="str">
        <x:v>数学専攻</x:v>
      </x:c>
      <x:c r="D114" s="44" t="n">
        <x:v>2024</x:v>
      </x:c>
      <x:c r="E114" s="27" t="str">
        <x:v>全年合计</x:v>
      </x:c>
      <x:c r="F114" s="27" t="str">
        <x:v>博士課程前期2年の課程</x:v>
      </x:c>
      <x:c r="G114" s="27" t="str">
        <x:v>全类别合计</x:v>
      </x:c>
      <x:c r="H114" s="27" t="str">
        <x:v>专攻/系</x:v>
      </x:c>
      <x:c r="I114" s="44" t="n">
        <x:v>38</x:v>
      </x:c>
      <x:c r="J114" s="44" t="n">
        <x:v>54</x:v>
      </x:c>
      <x:c r="K114" s="44"/>
      <x:c r="L114" s="44"/>
      <x:c r="M114" s="44" t="n">
        <x:v>37</x:v>
      </x:c>
      <x:c r="N114" s="45" t="str">
        <x:f>IF(AND(J114&lt;&gt;"",L114&lt;&gt;0),J114/L114,"")</x:f>
      </x:c>
      <x:c r="O114" s="45" t="str">
        <x:f>IF(AND(K114&lt;&gt;"",L114&lt;&gt;0),K114/L114,"")</x:f>
      </x:c>
      <x:c r="P114" s="46" t="str">
        <x:f>IF(AND(K114&lt;&gt;"",K114&lt;&gt;0,L114&lt;&gt;""),L114/K114,"")</x:f>
      </x:c>
      <x:c r="Q114" s="46" t="str">
        <x:f>IF(AND(L114&lt;&gt;"",L114&lt;&gt;0,M114&lt;&gt;""),M114/L114,"")</x:f>
      </x:c>
      <x:c r="R114" s="45" t="str">
        <x:f>IF(N114&lt;&gt;"",N114,IF(O114&lt;&gt;"",O114,""))</x:f>
      </x:c>
      <x:c r="S114" s="2" t="str">
        <x:f>IF(N114&lt;&gt;"","志愿/合格",IF(O114&lt;&gt;"","受验/合格",""))</x:f>
      </x:c>
      <x:c r="T114" s="2" t="str">
        <x:v>官方</x:v>
      </x:c>
      <x:c r="U114" s="2" t="str">
        <x:v>高</x:v>
      </x:c>
      <x:c r="V114" s="27" t="str">
        <x:v>東北大学大学院理学研究科・理学部 概要2024</x:v>
      </x:c>
      <x:c r="W114" s="27" t="str">
        <x:v>PDF 5頁「入学者状況／大学院［博士課程前期2年の課程］」</x:v>
      </x:c>
      <x:c r="X114" s="27" t="str">
        <x:v>https://www.sci.tohoku.ac.jp/about/pdf/sci-gaiyo2024.pdf</x:v>
      </x:c>
      <x:c r="Y114" s="27" t="str">
        <x:v>専攻単位の年度合計。</x:v>
      </x:c>
      <x:c r="Z114" s="47" t="str">
        <x:v>合格者数・受験者数は概要表に掲載なし。</x:v>
      </x:c>
    </x:row>
    <x:row r="115" ht="38" customHeight="1">
      <x:c r="A115" s="2" t="str">
        <x:v>東北大学</x:v>
      </x:c>
      <x:c r="B115" s="2" t="str">
        <x:v>理学研究科</x:v>
      </x:c>
      <x:c r="C115" s="2" t="str">
        <x:v>数学専攻</x:v>
      </x:c>
      <x:c r="D115" s="44" t="n">
        <x:v>2025</x:v>
      </x:c>
      <x:c r="E115" s="27" t="str">
        <x:v>全年合计</x:v>
      </x:c>
      <x:c r="F115" s="27" t="str">
        <x:v>博士課程前期2年の課程</x:v>
      </x:c>
      <x:c r="G115" s="27" t="str">
        <x:v>全类别合计</x:v>
      </x:c>
      <x:c r="H115" s="27" t="str">
        <x:v>专攻/系</x:v>
      </x:c>
      <x:c r="I115" s="44" t="n">
        <x:v>38</x:v>
      </x:c>
      <x:c r="J115" s="44" t="n">
        <x:v>65</x:v>
      </x:c>
      <x:c r="K115" s="44"/>
      <x:c r="L115" s="44"/>
      <x:c r="M115" s="44" t="n">
        <x:v>42</x:v>
      </x:c>
      <x:c r="N115" s="45" t="str">
        <x:f>IF(AND(J115&lt;&gt;"",L115&lt;&gt;0),J115/L115,"")</x:f>
      </x:c>
      <x:c r="O115" s="45" t="str">
        <x:f>IF(AND(K115&lt;&gt;"",L115&lt;&gt;0),K115/L115,"")</x:f>
      </x:c>
      <x:c r="P115" s="46" t="str">
        <x:f>IF(AND(K115&lt;&gt;"",K115&lt;&gt;0,L115&lt;&gt;""),L115/K115,"")</x:f>
      </x:c>
      <x:c r="Q115" s="46" t="str">
        <x:f>IF(AND(L115&lt;&gt;"",L115&lt;&gt;0,M115&lt;&gt;""),M115/L115,"")</x:f>
      </x:c>
      <x:c r="R115" s="45" t="str">
        <x:f>IF(N115&lt;&gt;"",N115,IF(O115&lt;&gt;"",O115,""))</x:f>
      </x:c>
      <x:c r="S115" s="2" t="str">
        <x:f>IF(N115&lt;&gt;"","志愿/合格",IF(O115&lt;&gt;"","受验/合格",""))</x:f>
      </x:c>
      <x:c r="T115" s="2" t="str">
        <x:v>官方</x:v>
      </x:c>
      <x:c r="U115" s="2" t="str">
        <x:v>高</x:v>
      </x:c>
      <x:c r="V115" s="27" t="str">
        <x:v>東北大学大学院理学研究科・理学部 概要2025</x:v>
      </x:c>
      <x:c r="W115" s="27" t="str">
        <x:v>PDF 5頁「入学者状況／大学院［博士課程前期2年の課程］」</x:v>
      </x:c>
      <x:c r="X115" s="27" t="str">
        <x:v>https://www.sci.tohoku.ac.jp/about/pdf/sci-gaiyo2025.pdf</x:v>
      </x:c>
      <x:c r="Y115" s="27" t="str">
        <x:v>専攻単位の年度合計。</x:v>
      </x:c>
      <x:c r="Z115" s="47" t="str">
        <x:v>合格者数・受験者数は概要表に掲載なし。</x:v>
      </x:c>
    </x:row>
    <x:row r="116" ht="38" customHeight="1">
      <x:c r="A116" s="2" t="str">
        <x:v>東北大学</x:v>
      </x:c>
      <x:c r="B116" s="2" t="str">
        <x:v>理学研究科</x:v>
      </x:c>
      <x:c r="C116" s="2" t="str">
        <x:v>地学専攻</x:v>
      </x:c>
      <x:c r="D116" s="44" t="n">
        <x:v>2022</x:v>
      </x:c>
      <x:c r="E116" s="27" t="str">
        <x:v>全年合计</x:v>
      </x:c>
      <x:c r="F116" s="27" t="str">
        <x:v>博士課程前期2年の課程</x:v>
      </x:c>
      <x:c r="G116" s="27" t="str">
        <x:v>全类别合计</x:v>
      </x:c>
      <x:c r="H116" s="27" t="str">
        <x:v>专攻/系</x:v>
      </x:c>
      <x:c r="I116" s="44" t="n">
        <x:v>32</x:v>
      </x:c>
      <x:c r="J116" s="44" t="n">
        <x:v>45</x:v>
      </x:c>
      <x:c r="K116" s="44"/>
      <x:c r="L116" s="44"/>
      <x:c r="M116" s="44" t="n">
        <x:v>35</x:v>
      </x:c>
      <x:c r="N116" s="45" t="str">
        <x:f>IF(AND(J116&lt;&gt;"",L116&lt;&gt;0),J116/L116,"")</x:f>
      </x:c>
      <x:c r="O116" s="45" t="str">
        <x:f>IF(AND(K116&lt;&gt;"",L116&lt;&gt;0),K116/L116,"")</x:f>
      </x:c>
      <x:c r="P116" s="46" t="str">
        <x:f>IF(AND(K116&lt;&gt;"",K116&lt;&gt;0,L116&lt;&gt;""),L116/K116,"")</x:f>
      </x:c>
      <x:c r="Q116" s="46" t="str">
        <x:f>IF(AND(L116&lt;&gt;"",L116&lt;&gt;0,M116&lt;&gt;""),M116/L116,"")</x:f>
      </x:c>
      <x:c r="R116" s="45" t="str">
        <x:f>IF(N116&lt;&gt;"",N116,IF(O116&lt;&gt;"",O116,""))</x:f>
      </x:c>
      <x:c r="S116" s="2" t="str">
        <x:f>IF(N116&lt;&gt;"","志愿/合格",IF(O116&lt;&gt;"","受验/合格",""))</x:f>
      </x:c>
      <x:c r="T116" s="2" t="str">
        <x:v>官方</x:v>
      </x:c>
      <x:c r="U116" s="2" t="str">
        <x:v>高</x:v>
      </x:c>
      <x:c r="V116" s="27" t="str">
        <x:v>東北大学大学院理学研究科・理学部 概要2022</x:v>
      </x:c>
      <x:c r="W116" s="27" t="str">
        <x:v>PDF 5頁「入学者状況／大学院［博士課程前期2年の課程］」</x:v>
      </x:c>
      <x:c r="X116" s="27" t="str">
        <x:v>https://www.sci.tohoku.ac.jp/about/pdf/sci-gaiyo2022.pdf</x:v>
      </x:c>
      <x:c r="Y116" s="27" t="str">
        <x:v>専攻単位の年度合計。</x:v>
      </x:c>
      <x:c r="Z116" s="47" t="str">
        <x:v>合格者数・受験者数は概要表に掲載なし。</x:v>
      </x:c>
    </x:row>
    <x:row r="117" ht="38" customHeight="1">
      <x:c r="A117" s="2" t="str">
        <x:v>東北大学</x:v>
      </x:c>
      <x:c r="B117" s="2" t="str">
        <x:v>理学研究科</x:v>
      </x:c>
      <x:c r="C117" s="2" t="str">
        <x:v>地学専攻</x:v>
      </x:c>
      <x:c r="D117" s="44" t="n">
        <x:v>2023</x:v>
      </x:c>
      <x:c r="E117" s="27" t="str">
        <x:v>全年合计</x:v>
      </x:c>
      <x:c r="F117" s="27" t="str">
        <x:v>博士課程前期2年の課程</x:v>
      </x:c>
      <x:c r="G117" s="27" t="str">
        <x:v>全类别合计</x:v>
      </x:c>
      <x:c r="H117" s="27" t="str">
        <x:v>专攻/系</x:v>
      </x:c>
      <x:c r="I117" s="44" t="n">
        <x:v>32</x:v>
      </x:c>
      <x:c r="J117" s="44" t="n">
        <x:v>42</x:v>
      </x:c>
      <x:c r="K117" s="44"/>
      <x:c r="L117" s="44"/>
      <x:c r="M117" s="44" t="n">
        <x:v>33</x:v>
      </x:c>
      <x:c r="N117" s="45" t="str">
        <x:f>IF(AND(J117&lt;&gt;"",L117&lt;&gt;0),J117/L117,"")</x:f>
      </x:c>
      <x:c r="O117" s="45" t="str">
        <x:f>IF(AND(K117&lt;&gt;"",L117&lt;&gt;0),K117/L117,"")</x:f>
      </x:c>
      <x:c r="P117" s="46" t="str">
        <x:f>IF(AND(K117&lt;&gt;"",K117&lt;&gt;0,L117&lt;&gt;""),L117/K117,"")</x:f>
      </x:c>
      <x:c r="Q117" s="46" t="str">
        <x:f>IF(AND(L117&lt;&gt;"",L117&lt;&gt;0,M117&lt;&gt;""),M117/L117,"")</x:f>
      </x:c>
      <x:c r="R117" s="45" t="str">
        <x:f>IF(N117&lt;&gt;"",N117,IF(O117&lt;&gt;"",O117,""))</x:f>
      </x:c>
      <x:c r="S117" s="2" t="str">
        <x:f>IF(N117&lt;&gt;"","志愿/合格",IF(O117&lt;&gt;"","受验/合格",""))</x:f>
      </x:c>
      <x:c r="T117" s="2" t="str">
        <x:v>官方</x:v>
      </x:c>
      <x:c r="U117" s="2" t="str">
        <x:v>高</x:v>
      </x:c>
      <x:c r="V117" s="27" t="str">
        <x:v>東北大学大学院理学研究科・理学部 概要2023</x:v>
      </x:c>
      <x:c r="W117" s="27" t="str">
        <x:v>PDF 5頁「入学者状況／大学院［博士課程前期2年の課程］」</x:v>
      </x:c>
      <x:c r="X117" s="27" t="str">
        <x:v>https://www.sci.tohoku.ac.jp/about/pdf/sci-gaiyo2023.pdf</x:v>
      </x:c>
      <x:c r="Y117" s="27" t="str">
        <x:v>専攻単位の年度合計。</x:v>
      </x:c>
      <x:c r="Z117" s="47" t="str">
        <x:v>合格者数・受験者数は概要表に掲載なし。</x:v>
      </x:c>
    </x:row>
    <x:row r="118" ht="38" customHeight="1">
      <x:c r="A118" s="2" t="str">
        <x:v>東北大学</x:v>
      </x:c>
      <x:c r="B118" s="2" t="str">
        <x:v>理学研究科</x:v>
      </x:c>
      <x:c r="C118" s="2" t="str">
        <x:v>地学専攻</x:v>
      </x:c>
      <x:c r="D118" s="44" t="n">
        <x:v>2024</x:v>
      </x:c>
      <x:c r="E118" s="27" t="str">
        <x:v>全年合计</x:v>
      </x:c>
      <x:c r="F118" s="27" t="str">
        <x:v>博士課程前期2年の課程</x:v>
      </x:c>
      <x:c r="G118" s="27" t="str">
        <x:v>全类别合计</x:v>
      </x:c>
      <x:c r="H118" s="27" t="str">
        <x:v>专攻/系</x:v>
      </x:c>
      <x:c r="I118" s="44" t="n">
        <x:v>32</x:v>
      </x:c>
      <x:c r="J118" s="44" t="n">
        <x:v>47</x:v>
      </x:c>
      <x:c r="K118" s="44"/>
      <x:c r="L118" s="44"/>
      <x:c r="M118" s="44" t="n">
        <x:v>38</x:v>
      </x:c>
      <x:c r="N118" s="45" t="str">
        <x:f>IF(AND(J118&lt;&gt;"",L118&lt;&gt;0),J118/L118,"")</x:f>
      </x:c>
      <x:c r="O118" s="45" t="str">
        <x:f>IF(AND(K118&lt;&gt;"",L118&lt;&gt;0),K118/L118,"")</x:f>
      </x:c>
      <x:c r="P118" s="46" t="str">
        <x:f>IF(AND(K118&lt;&gt;"",K118&lt;&gt;0,L118&lt;&gt;""),L118/K118,"")</x:f>
      </x:c>
      <x:c r="Q118" s="46" t="str">
        <x:f>IF(AND(L118&lt;&gt;"",L118&lt;&gt;0,M118&lt;&gt;""),M118/L118,"")</x:f>
      </x:c>
      <x:c r="R118" s="45" t="str">
        <x:f>IF(N118&lt;&gt;"",N118,IF(O118&lt;&gt;"",O118,""))</x:f>
      </x:c>
      <x:c r="S118" s="2" t="str">
        <x:f>IF(N118&lt;&gt;"","志愿/合格",IF(O118&lt;&gt;"","受验/合格",""))</x:f>
      </x:c>
      <x:c r="T118" s="2" t="str">
        <x:v>官方</x:v>
      </x:c>
      <x:c r="U118" s="2" t="str">
        <x:v>高</x:v>
      </x:c>
      <x:c r="V118" s="27" t="str">
        <x:v>東北大学大学院理学研究科・理学部 概要2024</x:v>
      </x:c>
      <x:c r="W118" s="27" t="str">
        <x:v>PDF 5頁「入学者状況／大学院［博士課程前期2年の課程］」</x:v>
      </x:c>
      <x:c r="X118" s="27" t="str">
        <x:v>https://www.sci.tohoku.ac.jp/about/pdf/sci-gaiyo2024.pdf</x:v>
      </x:c>
      <x:c r="Y118" s="27" t="str">
        <x:v>専攻単位の年度合計。</x:v>
      </x:c>
      <x:c r="Z118" s="47" t="str">
        <x:v>合格者数・受験者数は概要表に掲載なし。</x:v>
      </x:c>
    </x:row>
    <x:row r="119" ht="38" customHeight="1">
      <x:c r="A119" s="2" t="str">
        <x:v>東北大学</x:v>
      </x:c>
      <x:c r="B119" s="2" t="str">
        <x:v>理学研究科</x:v>
      </x:c>
      <x:c r="C119" s="2" t="str">
        <x:v>地学専攻</x:v>
      </x:c>
      <x:c r="D119" s="44" t="n">
        <x:v>2025</x:v>
      </x:c>
      <x:c r="E119" s="27" t="str">
        <x:v>全年合计</x:v>
      </x:c>
      <x:c r="F119" s="27" t="str">
        <x:v>博士課程前期2年の課程</x:v>
      </x:c>
      <x:c r="G119" s="27" t="str">
        <x:v>全类别合计</x:v>
      </x:c>
      <x:c r="H119" s="27" t="str">
        <x:v>专攻/系</x:v>
      </x:c>
      <x:c r="I119" s="44" t="n">
        <x:v>32</x:v>
      </x:c>
      <x:c r="J119" s="44" t="n">
        <x:v>60</x:v>
      </x:c>
      <x:c r="K119" s="44"/>
      <x:c r="L119" s="44"/>
      <x:c r="M119" s="44" t="n">
        <x:v>46</x:v>
      </x:c>
      <x:c r="N119" s="45" t="str">
        <x:f>IF(AND(J119&lt;&gt;"",L119&lt;&gt;0),J119/L119,"")</x:f>
      </x:c>
      <x:c r="O119" s="45" t="str">
        <x:f>IF(AND(K119&lt;&gt;"",L119&lt;&gt;0),K119/L119,"")</x:f>
      </x:c>
      <x:c r="P119" s="46" t="str">
        <x:f>IF(AND(K119&lt;&gt;"",K119&lt;&gt;0,L119&lt;&gt;""),L119/K119,"")</x:f>
      </x:c>
      <x:c r="Q119" s="46" t="str">
        <x:f>IF(AND(L119&lt;&gt;"",L119&lt;&gt;0,M119&lt;&gt;""),M119/L119,"")</x:f>
      </x:c>
      <x:c r="R119" s="45" t="str">
        <x:f>IF(N119&lt;&gt;"",N119,IF(O119&lt;&gt;"",O119,""))</x:f>
      </x:c>
      <x:c r="S119" s="2" t="str">
        <x:f>IF(N119&lt;&gt;"","志愿/合格",IF(O119&lt;&gt;"","受验/合格",""))</x:f>
      </x:c>
      <x:c r="T119" s="2" t="str">
        <x:v>官方</x:v>
      </x:c>
      <x:c r="U119" s="2" t="str">
        <x:v>高</x:v>
      </x:c>
      <x:c r="V119" s="27" t="str">
        <x:v>東北大学大学院理学研究科・理学部 概要2025</x:v>
      </x:c>
      <x:c r="W119" s="27" t="str">
        <x:v>PDF 5頁「入学者状況／大学院［博士課程前期2年の課程］」</x:v>
      </x:c>
      <x:c r="X119" s="27" t="str">
        <x:v>https://www.sci.tohoku.ac.jp/about/pdf/sci-gaiyo2025.pdf</x:v>
      </x:c>
      <x:c r="Y119" s="27" t="str">
        <x:v>専攻単位の年度合計。</x:v>
      </x:c>
      <x:c r="Z119" s="47" t="str">
        <x:v>合格者数・受験者数は概要表に掲載なし。</x:v>
      </x:c>
    </x:row>
    <x:row r="120" ht="38" customHeight="1">
      <x:c r="A120" s="2" t="str">
        <x:v>東北大学</x:v>
      </x:c>
      <x:c r="B120" s="2" t="str">
        <x:v>理学研究科</x:v>
      </x:c>
      <x:c r="C120" s="2" t="str">
        <x:v>地球物理学専攻</x:v>
      </x:c>
      <x:c r="D120" s="44" t="n">
        <x:v>2022</x:v>
      </x:c>
      <x:c r="E120" s="27" t="str">
        <x:v>全年合计</x:v>
      </x:c>
      <x:c r="F120" s="27" t="str">
        <x:v>博士課程前期2年の課程</x:v>
      </x:c>
      <x:c r="G120" s="27" t="str">
        <x:v>全类别合计</x:v>
      </x:c>
      <x:c r="H120" s="27" t="str">
        <x:v>专攻/系</x:v>
      </x:c>
      <x:c r="I120" s="44" t="n">
        <x:v>26</x:v>
      </x:c>
      <x:c r="J120" s="44" t="n">
        <x:v>31</x:v>
      </x:c>
      <x:c r="K120" s="44"/>
      <x:c r="L120" s="44"/>
      <x:c r="M120" s="44" t="n">
        <x:v>25</x:v>
      </x:c>
      <x:c r="N120" s="45" t="str">
        <x:f>IF(AND(J120&lt;&gt;"",L120&lt;&gt;0),J120/L120,"")</x:f>
      </x:c>
      <x:c r="O120" s="45" t="str">
        <x:f>IF(AND(K120&lt;&gt;"",L120&lt;&gt;0),K120/L120,"")</x:f>
      </x:c>
      <x:c r="P120" s="46" t="str">
        <x:f>IF(AND(K120&lt;&gt;"",K120&lt;&gt;0,L120&lt;&gt;""),L120/K120,"")</x:f>
      </x:c>
      <x:c r="Q120" s="46" t="str">
        <x:f>IF(AND(L120&lt;&gt;"",L120&lt;&gt;0,M120&lt;&gt;""),M120/L120,"")</x:f>
      </x:c>
      <x:c r="R120" s="45" t="str">
        <x:f>IF(N120&lt;&gt;"",N120,IF(O120&lt;&gt;"",O120,""))</x:f>
      </x:c>
      <x:c r="S120" s="2" t="str">
        <x:f>IF(N120&lt;&gt;"","志愿/合格",IF(O120&lt;&gt;"","受验/合格",""))</x:f>
      </x:c>
      <x:c r="T120" s="2" t="str">
        <x:v>官方</x:v>
      </x:c>
      <x:c r="U120" s="2" t="str">
        <x:v>高</x:v>
      </x:c>
      <x:c r="V120" s="27" t="str">
        <x:v>東北大学大学院理学研究科・理学部 概要2022</x:v>
      </x:c>
      <x:c r="W120" s="27" t="str">
        <x:v>PDF 5頁「入学者状況／大学院［博士課程前期2年の課程］」</x:v>
      </x:c>
      <x:c r="X120" s="27" t="str">
        <x:v>https://www.sci.tohoku.ac.jp/about/pdf/sci-gaiyo2022.pdf</x:v>
      </x:c>
      <x:c r="Y120" s="27" t="str">
        <x:v>専攻単位の年度合計。</x:v>
      </x:c>
      <x:c r="Z120" s="47" t="str">
        <x:v>合格者数・受験者数は概要表に掲載なし。</x:v>
      </x:c>
    </x:row>
    <x:row r="121" ht="38" customHeight="1">
      <x:c r="A121" s="2" t="str">
        <x:v>東北大学</x:v>
      </x:c>
      <x:c r="B121" s="2" t="str">
        <x:v>理学研究科</x:v>
      </x:c>
      <x:c r="C121" s="2" t="str">
        <x:v>地球物理学専攻</x:v>
      </x:c>
      <x:c r="D121" s="44" t="n">
        <x:v>2023</x:v>
      </x:c>
      <x:c r="E121" s="27" t="str">
        <x:v>全年合计</x:v>
      </x:c>
      <x:c r="F121" s="27" t="str">
        <x:v>博士課程前期2年の課程</x:v>
      </x:c>
      <x:c r="G121" s="27" t="str">
        <x:v>全类别合计</x:v>
      </x:c>
      <x:c r="H121" s="27" t="str">
        <x:v>专攻/系</x:v>
      </x:c>
      <x:c r="I121" s="44" t="n">
        <x:v>26</x:v>
      </x:c>
      <x:c r="J121" s="44" t="n">
        <x:v>46</x:v>
      </x:c>
      <x:c r="K121" s="44"/>
      <x:c r="L121" s="44"/>
      <x:c r="M121" s="44" t="n">
        <x:v>30</x:v>
      </x:c>
      <x:c r="N121" s="45" t="str">
        <x:f>IF(AND(J121&lt;&gt;"",L121&lt;&gt;0),J121/L121,"")</x:f>
      </x:c>
      <x:c r="O121" s="45" t="str">
        <x:f>IF(AND(K121&lt;&gt;"",L121&lt;&gt;0),K121/L121,"")</x:f>
      </x:c>
      <x:c r="P121" s="46" t="str">
        <x:f>IF(AND(K121&lt;&gt;"",K121&lt;&gt;0,L121&lt;&gt;""),L121/K121,"")</x:f>
      </x:c>
      <x:c r="Q121" s="46" t="str">
        <x:f>IF(AND(L121&lt;&gt;"",L121&lt;&gt;0,M121&lt;&gt;""),M121/L121,"")</x:f>
      </x:c>
      <x:c r="R121" s="45" t="str">
        <x:f>IF(N121&lt;&gt;"",N121,IF(O121&lt;&gt;"",O121,""))</x:f>
      </x:c>
      <x:c r="S121" s="2" t="str">
        <x:f>IF(N121&lt;&gt;"","志愿/合格",IF(O121&lt;&gt;"","受验/合格",""))</x:f>
      </x:c>
      <x:c r="T121" s="2" t="str">
        <x:v>官方</x:v>
      </x:c>
      <x:c r="U121" s="2" t="str">
        <x:v>高</x:v>
      </x:c>
      <x:c r="V121" s="27" t="str">
        <x:v>東北大学大学院理学研究科・理学部 概要2023</x:v>
      </x:c>
      <x:c r="W121" s="27" t="str">
        <x:v>PDF 5頁「入学者状況／大学院［博士課程前期2年の課程］」</x:v>
      </x:c>
      <x:c r="X121" s="27" t="str">
        <x:v>https://www.sci.tohoku.ac.jp/about/pdf/sci-gaiyo2023.pdf</x:v>
      </x:c>
      <x:c r="Y121" s="27" t="str">
        <x:v>専攻単位の年度合計。</x:v>
      </x:c>
      <x:c r="Z121" s="47" t="str">
        <x:v>合格者数・受験者数は概要表に掲載なし。</x:v>
      </x:c>
    </x:row>
    <x:row r="122" ht="38" customHeight="1">
      <x:c r="A122" s="2" t="str">
        <x:v>東北大学</x:v>
      </x:c>
      <x:c r="B122" s="2" t="str">
        <x:v>理学研究科</x:v>
      </x:c>
      <x:c r="C122" s="2" t="str">
        <x:v>地球物理学専攻</x:v>
      </x:c>
      <x:c r="D122" s="44" t="n">
        <x:v>2024</x:v>
      </x:c>
      <x:c r="E122" s="27" t="str">
        <x:v>全年合计</x:v>
      </x:c>
      <x:c r="F122" s="27" t="str">
        <x:v>博士課程前期2年の課程</x:v>
      </x:c>
      <x:c r="G122" s="27" t="str">
        <x:v>全类别合计</x:v>
      </x:c>
      <x:c r="H122" s="27" t="str">
        <x:v>专攻/系</x:v>
      </x:c>
      <x:c r="I122" s="44" t="n">
        <x:v>26</x:v>
      </x:c>
      <x:c r="J122" s="44" t="n">
        <x:v>38</x:v>
      </x:c>
      <x:c r="K122" s="44"/>
      <x:c r="L122" s="44"/>
      <x:c r="M122" s="44" t="n">
        <x:v>32</x:v>
      </x:c>
      <x:c r="N122" s="45" t="str">
        <x:f>IF(AND(J122&lt;&gt;"",L122&lt;&gt;0),J122/L122,"")</x:f>
      </x:c>
      <x:c r="O122" s="45" t="str">
        <x:f>IF(AND(K122&lt;&gt;"",L122&lt;&gt;0),K122/L122,"")</x:f>
      </x:c>
      <x:c r="P122" s="46" t="str">
        <x:f>IF(AND(K122&lt;&gt;"",K122&lt;&gt;0,L122&lt;&gt;""),L122/K122,"")</x:f>
      </x:c>
      <x:c r="Q122" s="46" t="str">
        <x:f>IF(AND(L122&lt;&gt;"",L122&lt;&gt;0,M122&lt;&gt;""),M122/L122,"")</x:f>
      </x:c>
      <x:c r="R122" s="45" t="str">
        <x:f>IF(N122&lt;&gt;"",N122,IF(O122&lt;&gt;"",O122,""))</x:f>
      </x:c>
      <x:c r="S122" s="2" t="str">
        <x:f>IF(N122&lt;&gt;"","志愿/合格",IF(O122&lt;&gt;"","受验/合格",""))</x:f>
      </x:c>
      <x:c r="T122" s="2" t="str">
        <x:v>官方</x:v>
      </x:c>
      <x:c r="U122" s="2" t="str">
        <x:v>高</x:v>
      </x:c>
      <x:c r="V122" s="27" t="str">
        <x:v>東北大学大学院理学研究科・理学部 概要2024</x:v>
      </x:c>
      <x:c r="W122" s="27" t="str">
        <x:v>PDF 5頁「入学者状況／大学院［博士課程前期2年の課程］」</x:v>
      </x:c>
      <x:c r="X122" s="27" t="str">
        <x:v>https://www.sci.tohoku.ac.jp/about/pdf/sci-gaiyo2024.pdf</x:v>
      </x:c>
      <x:c r="Y122" s="27" t="str">
        <x:v>専攻単位の年度合計。</x:v>
      </x:c>
      <x:c r="Z122" s="47" t="str">
        <x:v>合格者数・受験者数は概要表に掲載なし。</x:v>
      </x:c>
    </x:row>
    <x:row r="123" ht="38" customHeight="1">
      <x:c r="A123" s="2" t="str">
        <x:v>東北大学</x:v>
      </x:c>
      <x:c r="B123" s="2" t="str">
        <x:v>理学研究科</x:v>
      </x:c>
      <x:c r="C123" s="2" t="str">
        <x:v>地球物理学専攻</x:v>
      </x:c>
      <x:c r="D123" s="44" t="n">
        <x:v>2025</x:v>
      </x:c>
      <x:c r="E123" s="27" t="str">
        <x:v>全年合计</x:v>
      </x:c>
      <x:c r="F123" s="27" t="str">
        <x:v>博士課程前期2年の課程</x:v>
      </x:c>
      <x:c r="G123" s="27" t="str">
        <x:v>全类别合计</x:v>
      </x:c>
      <x:c r="H123" s="27" t="str">
        <x:v>专攻/系</x:v>
      </x:c>
      <x:c r="I123" s="44" t="n">
        <x:v>26</x:v>
      </x:c>
      <x:c r="J123" s="44" t="n">
        <x:v>35</x:v>
      </x:c>
      <x:c r="K123" s="44"/>
      <x:c r="L123" s="44"/>
      <x:c r="M123" s="44" t="n">
        <x:v>25</x:v>
      </x:c>
      <x:c r="N123" s="45" t="str">
        <x:f>IF(AND(J123&lt;&gt;"",L123&lt;&gt;0),J123/L123,"")</x:f>
      </x:c>
      <x:c r="O123" s="45" t="str">
        <x:f>IF(AND(K123&lt;&gt;"",L123&lt;&gt;0),K123/L123,"")</x:f>
      </x:c>
      <x:c r="P123" s="46" t="str">
        <x:f>IF(AND(K123&lt;&gt;"",K123&lt;&gt;0,L123&lt;&gt;""),L123/K123,"")</x:f>
      </x:c>
      <x:c r="Q123" s="46" t="str">
        <x:f>IF(AND(L123&lt;&gt;"",L123&lt;&gt;0,M123&lt;&gt;""),M123/L123,"")</x:f>
      </x:c>
      <x:c r="R123" s="45" t="str">
        <x:f>IF(N123&lt;&gt;"",N123,IF(O123&lt;&gt;"",O123,""))</x:f>
      </x:c>
      <x:c r="S123" s="2" t="str">
        <x:f>IF(N123&lt;&gt;"","志愿/合格",IF(O123&lt;&gt;"","受验/合格",""))</x:f>
      </x:c>
      <x:c r="T123" s="2" t="str">
        <x:v>官方</x:v>
      </x:c>
      <x:c r="U123" s="2" t="str">
        <x:v>高</x:v>
      </x:c>
      <x:c r="V123" s="27" t="str">
        <x:v>東北大学大学院理学研究科・理学部 概要2025</x:v>
      </x:c>
      <x:c r="W123" s="27" t="str">
        <x:v>PDF 5頁「入学者状況／大学院［博士課程前期2年の課程］」</x:v>
      </x:c>
      <x:c r="X123" s="27" t="str">
        <x:v>https://www.sci.tohoku.ac.jp/about/pdf/sci-gaiyo2025.pdf</x:v>
      </x:c>
      <x:c r="Y123" s="27" t="str">
        <x:v>専攻単位の年度合計。</x:v>
      </x:c>
      <x:c r="Z123" s="47" t="str">
        <x:v>合格者数・受験者数は概要表に掲載なし。</x:v>
      </x:c>
    </x:row>
    <x:row r="124" ht="38" customHeight="1">
      <x:c r="A124" s="2" t="str">
        <x:v>東北大学</x:v>
      </x:c>
      <x:c r="B124" s="2" t="str">
        <x:v>理学研究科</x:v>
      </x:c>
      <x:c r="C124" s="2" t="str">
        <x:v>天文学専攻</x:v>
      </x:c>
      <x:c r="D124" s="44" t="n">
        <x:v>2022</x:v>
      </x:c>
      <x:c r="E124" s="27" t="str">
        <x:v>全年合计</x:v>
      </x:c>
      <x:c r="F124" s="27" t="str">
        <x:v>博士課程前期2年の課程</x:v>
      </x:c>
      <x:c r="G124" s="27" t="str">
        <x:v>全类别合计</x:v>
      </x:c>
      <x:c r="H124" s="27" t="str">
        <x:v>专攻/系</x:v>
      </x:c>
      <x:c r="I124" s="44" t="n">
        <x:v>9</x:v>
      </x:c>
      <x:c r="J124" s="44" t="n">
        <x:v>20</x:v>
      </x:c>
      <x:c r="K124" s="44"/>
      <x:c r="L124" s="44"/>
      <x:c r="M124" s="44" t="n">
        <x:v>11</x:v>
      </x:c>
      <x:c r="N124" s="45" t="str">
        <x:f>IF(AND(J124&lt;&gt;"",L124&lt;&gt;0),J124/L124,"")</x:f>
      </x:c>
      <x:c r="O124" s="45" t="str">
        <x:f>IF(AND(K124&lt;&gt;"",L124&lt;&gt;0),K124/L124,"")</x:f>
      </x:c>
      <x:c r="P124" s="46" t="str">
        <x:f>IF(AND(K124&lt;&gt;"",K124&lt;&gt;0,L124&lt;&gt;""),L124/K124,"")</x:f>
      </x:c>
      <x:c r="Q124" s="46" t="str">
        <x:f>IF(AND(L124&lt;&gt;"",L124&lt;&gt;0,M124&lt;&gt;""),M124/L124,"")</x:f>
      </x:c>
      <x:c r="R124" s="45" t="str">
        <x:f>IF(N124&lt;&gt;"",N124,IF(O124&lt;&gt;"",O124,""))</x:f>
      </x:c>
      <x:c r="S124" s="2" t="str">
        <x:f>IF(N124&lt;&gt;"","志愿/合格",IF(O124&lt;&gt;"","受验/合格",""))</x:f>
      </x:c>
      <x:c r="T124" s="2" t="str">
        <x:v>官方</x:v>
      </x:c>
      <x:c r="U124" s="2" t="str">
        <x:v>高</x:v>
      </x:c>
      <x:c r="V124" s="27" t="str">
        <x:v>東北大学大学院理学研究科・理学部 概要2022</x:v>
      </x:c>
      <x:c r="W124" s="27" t="str">
        <x:v>PDF 5頁「入学者状況／大学院［博士課程前期2年の課程］」</x:v>
      </x:c>
      <x:c r="X124" s="27" t="str">
        <x:v>https://www.sci.tohoku.ac.jp/about/pdf/sci-gaiyo2022.pdf</x:v>
      </x:c>
      <x:c r="Y124" s="27" t="str">
        <x:v>専攻単位の年度合計。</x:v>
      </x:c>
      <x:c r="Z124" s="47" t="str">
        <x:v>合格者数・受験者数は概要表に掲載なし。</x:v>
      </x:c>
    </x:row>
    <x:row r="125" ht="38" customHeight="1">
      <x:c r="A125" s="2" t="str">
        <x:v>東北大学</x:v>
      </x:c>
      <x:c r="B125" s="2" t="str">
        <x:v>理学研究科</x:v>
      </x:c>
      <x:c r="C125" s="2" t="str">
        <x:v>天文学専攻</x:v>
      </x:c>
      <x:c r="D125" s="44" t="n">
        <x:v>2023</x:v>
      </x:c>
      <x:c r="E125" s="27" t="str">
        <x:v>全年合计</x:v>
      </x:c>
      <x:c r="F125" s="27" t="str">
        <x:v>博士課程前期2年の課程</x:v>
      </x:c>
      <x:c r="G125" s="27" t="str">
        <x:v>全类别合计</x:v>
      </x:c>
      <x:c r="H125" s="27" t="str">
        <x:v>专攻/系</x:v>
      </x:c>
      <x:c r="I125" s="44" t="n">
        <x:v>9</x:v>
      </x:c>
      <x:c r="J125" s="44" t="n">
        <x:v>19</x:v>
      </x:c>
      <x:c r="K125" s="44"/>
      <x:c r="L125" s="44"/>
      <x:c r="M125" s="44" t="n">
        <x:v>11</x:v>
      </x:c>
      <x:c r="N125" s="45" t="str">
        <x:f>IF(AND(J125&lt;&gt;"",L125&lt;&gt;0),J125/L125,"")</x:f>
      </x:c>
      <x:c r="O125" s="45" t="str">
        <x:f>IF(AND(K125&lt;&gt;"",L125&lt;&gt;0),K125/L125,"")</x:f>
      </x:c>
      <x:c r="P125" s="46" t="str">
        <x:f>IF(AND(K125&lt;&gt;"",K125&lt;&gt;0,L125&lt;&gt;""),L125/K125,"")</x:f>
      </x:c>
      <x:c r="Q125" s="46" t="str">
        <x:f>IF(AND(L125&lt;&gt;"",L125&lt;&gt;0,M125&lt;&gt;""),M125/L125,"")</x:f>
      </x:c>
      <x:c r="R125" s="45" t="str">
        <x:f>IF(N125&lt;&gt;"",N125,IF(O125&lt;&gt;"",O125,""))</x:f>
      </x:c>
      <x:c r="S125" s="2" t="str">
        <x:f>IF(N125&lt;&gt;"","志愿/合格",IF(O125&lt;&gt;"","受验/合格",""))</x:f>
      </x:c>
      <x:c r="T125" s="2" t="str">
        <x:v>官方</x:v>
      </x:c>
      <x:c r="U125" s="2" t="str">
        <x:v>高</x:v>
      </x:c>
      <x:c r="V125" s="27" t="str">
        <x:v>東北大学大学院理学研究科・理学部 概要2023</x:v>
      </x:c>
      <x:c r="W125" s="27" t="str">
        <x:v>PDF 5頁「入学者状況／大学院［博士課程前期2年の課程］」</x:v>
      </x:c>
      <x:c r="X125" s="27" t="str">
        <x:v>https://www.sci.tohoku.ac.jp/about/pdf/sci-gaiyo2023.pdf</x:v>
      </x:c>
      <x:c r="Y125" s="27" t="str">
        <x:v>専攻単位の年度合計。</x:v>
      </x:c>
      <x:c r="Z125" s="47" t="str">
        <x:v>合格者数・受験者数は概要表に掲載なし。</x:v>
      </x:c>
    </x:row>
    <x:row r="126" ht="38" customHeight="1">
      <x:c r="A126" s="2" t="str">
        <x:v>東北大学</x:v>
      </x:c>
      <x:c r="B126" s="2" t="str">
        <x:v>理学研究科</x:v>
      </x:c>
      <x:c r="C126" s="2" t="str">
        <x:v>天文学専攻</x:v>
      </x:c>
      <x:c r="D126" s="44" t="n">
        <x:v>2024</x:v>
      </x:c>
      <x:c r="E126" s="27" t="str">
        <x:v>全年合计</x:v>
      </x:c>
      <x:c r="F126" s="27" t="str">
        <x:v>博士課程前期2年の課程</x:v>
      </x:c>
      <x:c r="G126" s="27" t="str">
        <x:v>全类别合计</x:v>
      </x:c>
      <x:c r="H126" s="27" t="str">
        <x:v>专攻/系</x:v>
      </x:c>
      <x:c r="I126" s="44" t="n">
        <x:v>9</x:v>
      </x:c>
      <x:c r="J126" s="44" t="n">
        <x:v>28</x:v>
      </x:c>
      <x:c r="K126" s="44"/>
      <x:c r="L126" s="44"/>
      <x:c r="M126" s="44" t="n">
        <x:v>13</x:v>
      </x:c>
      <x:c r="N126" s="45" t="str">
        <x:f>IF(AND(J126&lt;&gt;"",L126&lt;&gt;0),J126/L126,"")</x:f>
      </x:c>
      <x:c r="O126" s="45" t="str">
        <x:f>IF(AND(K126&lt;&gt;"",L126&lt;&gt;0),K126/L126,"")</x:f>
      </x:c>
      <x:c r="P126" s="46" t="str">
        <x:f>IF(AND(K126&lt;&gt;"",K126&lt;&gt;0,L126&lt;&gt;""),L126/K126,"")</x:f>
      </x:c>
      <x:c r="Q126" s="46" t="str">
        <x:f>IF(AND(L126&lt;&gt;"",L126&lt;&gt;0,M126&lt;&gt;""),M126/L126,"")</x:f>
      </x:c>
      <x:c r="R126" s="45" t="str">
        <x:f>IF(N126&lt;&gt;"",N126,IF(O126&lt;&gt;"",O126,""))</x:f>
      </x:c>
      <x:c r="S126" s="2" t="str">
        <x:f>IF(N126&lt;&gt;"","志愿/合格",IF(O126&lt;&gt;"","受验/合格",""))</x:f>
      </x:c>
      <x:c r="T126" s="2" t="str">
        <x:v>官方</x:v>
      </x:c>
      <x:c r="U126" s="2" t="str">
        <x:v>高</x:v>
      </x:c>
      <x:c r="V126" s="27" t="str">
        <x:v>東北大学大学院理学研究科・理学部 概要2024</x:v>
      </x:c>
      <x:c r="W126" s="27" t="str">
        <x:v>PDF 5頁「入学者状況／大学院［博士課程前期2年の課程］」</x:v>
      </x:c>
      <x:c r="X126" s="27" t="str">
        <x:v>https://www.sci.tohoku.ac.jp/about/pdf/sci-gaiyo2024.pdf</x:v>
      </x:c>
      <x:c r="Y126" s="27" t="str">
        <x:v>専攻単位の年度合計。</x:v>
      </x:c>
      <x:c r="Z126" s="47" t="str">
        <x:v>合格者数・受験者数は概要表に掲載なし。</x:v>
      </x:c>
    </x:row>
    <x:row r="127" ht="38" customHeight="1">
      <x:c r="A127" s="2" t="str">
        <x:v>東北大学</x:v>
      </x:c>
      <x:c r="B127" s="2" t="str">
        <x:v>理学研究科</x:v>
      </x:c>
      <x:c r="C127" s="2" t="str">
        <x:v>天文学専攻</x:v>
      </x:c>
      <x:c r="D127" s="44" t="n">
        <x:v>2025</x:v>
      </x:c>
      <x:c r="E127" s="27" t="str">
        <x:v>全年合计</x:v>
      </x:c>
      <x:c r="F127" s="27" t="str">
        <x:v>博士課程前期2年の課程</x:v>
      </x:c>
      <x:c r="G127" s="27" t="str">
        <x:v>全类别合计</x:v>
      </x:c>
      <x:c r="H127" s="27" t="str">
        <x:v>专攻/系</x:v>
      </x:c>
      <x:c r="I127" s="44" t="n">
        <x:v>9</x:v>
      </x:c>
      <x:c r="J127" s="44" t="n">
        <x:v>32</x:v>
      </x:c>
      <x:c r="K127" s="44"/>
      <x:c r="L127" s="44"/>
      <x:c r="M127" s="44" t="n">
        <x:v>11</x:v>
      </x:c>
      <x:c r="N127" s="45" t="str">
        <x:f>IF(AND(J127&lt;&gt;"",L127&lt;&gt;0),J127/L127,"")</x:f>
      </x:c>
      <x:c r="O127" s="45" t="str">
        <x:f>IF(AND(K127&lt;&gt;"",L127&lt;&gt;0),K127/L127,"")</x:f>
      </x:c>
      <x:c r="P127" s="46" t="str">
        <x:f>IF(AND(K127&lt;&gt;"",K127&lt;&gt;0,L127&lt;&gt;""),L127/K127,"")</x:f>
      </x:c>
      <x:c r="Q127" s="46" t="str">
        <x:f>IF(AND(L127&lt;&gt;"",L127&lt;&gt;0,M127&lt;&gt;""),M127/L127,"")</x:f>
      </x:c>
      <x:c r="R127" s="45" t="str">
        <x:f>IF(N127&lt;&gt;"",N127,IF(O127&lt;&gt;"",O127,""))</x:f>
      </x:c>
      <x:c r="S127" s="2" t="str">
        <x:f>IF(N127&lt;&gt;"","志愿/合格",IF(O127&lt;&gt;"","受验/合格",""))</x:f>
      </x:c>
      <x:c r="T127" s="2" t="str">
        <x:v>官方</x:v>
      </x:c>
      <x:c r="U127" s="2" t="str">
        <x:v>高</x:v>
      </x:c>
      <x:c r="V127" s="27" t="str">
        <x:v>東北大学大学院理学研究科・理学部 概要2025</x:v>
      </x:c>
      <x:c r="W127" s="27" t="str">
        <x:v>PDF 5頁「入学者状況／大学院［博士課程前期2年の課程］」</x:v>
      </x:c>
      <x:c r="X127" s="27" t="str">
        <x:v>https://www.sci.tohoku.ac.jp/about/pdf/sci-gaiyo2025.pdf</x:v>
      </x:c>
      <x:c r="Y127" s="27" t="str">
        <x:v>専攻単位の年度合計。</x:v>
      </x:c>
      <x:c r="Z127" s="47" t="str">
        <x:v>合格者数・受験者数は概要表に掲載なし。</x:v>
      </x:c>
    </x:row>
    <x:row r="128" ht="38" customHeight="1">
      <x:c r="A128" s="2" t="str">
        <x:v>東北大学</x:v>
      </x:c>
      <x:c r="B128" s="2" t="str">
        <x:v>理学研究科</x:v>
      </x:c>
      <x:c r="C128" s="2" t="str">
        <x:v>物理学専攻</x:v>
      </x:c>
      <x:c r="D128" s="44" t="n">
        <x:v>2022</x:v>
      </x:c>
      <x:c r="E128" s="27" t="str">
        <x:v>全年合计</x:v>
      </x:c>
      <x:c r="F128" s="27" t="str">
        <x:v>博士課程前期2年の課程</x:v>
      </x:c>
      <x:c r="G128" s="27" t="str">
        <x:v>全类别合计</x:v>
      </x:c>
      <x:c r="H128" s="27" t="str">
        <x:v>专攻/系</x:v>
      </x:c>
      <x:c r="I128" s="44" t="n">
        <x:v>91</x:v>
      </x:c>
      <x:c r="J128" s="44" t="n">
        <x:v>93</x:v>
      </x:c>
      <x:c r="K128" s="44"/>
      <x:c r="L128" s="44"/>
      <x:c r="M128" s="44" t="n">
        <x:v>79</x:v>
      </x:c>
      <x:c r="N128" s="45" t="str">
        <x:f>IF(AND(J128&lt;&gt;"",L128&lt;&gt;0),J128/L128,"")</x:f>
      </x:c>
      <x:c r="O128" s="45" t="str">
        <x:f>IF(AND(K128&lt;&gt;"",L128&lt;&gt;0),K128/L128,"")</x:f>
      </x:c>
      <x:c r="P128" s="46" t="str">
        <x:f>IF(AND(K128&lt;&gt;"",K128&lt;&gt;0,L128&lt;&gt;""),L128/K128,"")</x:f>
      </x:c>
      <x:c r="Q128" s="46" t="str">
        <x:f>IF(AND(L128&lt;&gt;"",L128&lt;&gt;0,M128&lt;&gt;""),M128/L128,"")</x:f>
      </x:c>
      <x:c r="R128" s="45" t="str">
        <x:f>IF(N128&lt;&gt;"",N128,IF(O128&lt;&gt;"",O128,""))</x:f>
      </x:c>
      <x:c r="S128" s="2" t="str">
        <x:f>IF(N128&lt;&gt;"","志愿/合格",IF(O128&lt;&gt;"","受验/合格",""))</x:f>
      </x:c>
      <x:c r="T128" s="2" t="str">
        <x:v>官方</x:v>
      </x:c>
      <x:c r="U128" s="2" t="str">
        <x:v>高</x:v>
      </x:c>
      <x:c r="V128" s="27" t="str">
        <x:v>東北大学大学院理学研究科・理学部 概要2022</x:v>
      </x:c>
      <x:c r="W128" s="27" t="str">
        <x:v>PDF 5頁「入学者状況／大学院［博士課程前期2年の課程］」</x:v>
      </x:c>
      <x:c r="X128" s="27" t="str">
        <x:v>https://www.sci.tohoku.ac.jp/about/pdf/sci-gaiyo2022.pdf</x:v>
      </x:c>
      <x:c r="Y128" s="27" t="str">
        <x:v>専攻単位の年度合計。</x:v>
      </x:c>
      <x:c r="Z128" s="47" t="str">
        <x:v>合格者数・受験者数は概要表に掲載なし。</x:v>
      </x:c>
    </x:row>
    <x:row r="129" ht="38" customHeight="1">
      <x:c r="A129" s="2" t="str">
        <x:v>東北大学</x:v>
      </x:c>
      <x:c r="B129" s="2" t="str">
        <x:v>理学研究科</x:v>
      </x:c>
      <x:c r="C129" s="2" t="str">
        <x:v>物理学専攻</x:v>
      </x:c>
      <x:c r="D129" s="44" t="n">
        <x:v>2023</x:v>
      </x:c>
      <x:c r="E129" s="27" t="str">
        <x:v>全年合计</x:v>
      </x:c>
      <x:c r="F129" s="27" t="str">
        <x:v>博士課程前期2年の課程</x:v>
      </x:c>
      <x:c r="G129" s="27" t="str">
        <x:v>全类别合计</x:v>
      </x:c>
      <x:c r="H129" s="27" t="str">
        <x:v>专攻/系</x:v>
      </x:c>
      <x:c r="I129" s="44" t="n">
        <x:v>91</x:v>
      </x:c>
      <x:c r="J129" s="44" t="n">
        <x:v>85</x:v>
      </x:c>
      <x:c r="K129" s="44"/>
      <x:c r="L129" s="44"/>
      <x:c r="M129" s="44" t="n">
        <x:v>67</x:v>
      </x:c>
      <x:c r="N129" s="45" t="str">
        <x:f>IF(AND(J129&lt;&gt;"",L129&lt;&gt;0),J129/L129,"")</x:f>
      </x:c>
      <x:c r="O129" s="45" t="str">
        <x:f>IF(AND(K129&lt;&gt;"",L129&lt;&gt;0),K129/L129,"")</x:f>
      </x:c>
      <x:c r="P129" s="46" t="str">
        <x:f>IF(AND(K129&lt;&gt;"",K129&lt;&gt;0,L129&lt;&gt;""),L129/K129,"")</x:f>
      </x:c>
      <x:c r="Q129" s="46" t="str">
        <x:f>IF(AND(L129&lt;&gt;"",L129&lt;&gt;0,M129&lt;&gt;""),M129/L129,"")</x:f>
      </x:c>
      <x:c r="R129" s="45" t="str">
        <x:f>IF(N129&lt;&gt;"",N129,IF(O129&lt;&gt;"",O129,""))</x:f>
      </x:c>
      <x:c r="S129" s="2" t="str">
        <x:f>IF(N129&lt;&gt;"","志愿/合格",IF(O129&lt;&gt;"","受验/合格",""))</x:f>
      </x:c>
      <x:c r="T129" s="2" t="str">
        <x:v>官方</x:v>
      </x:c>
      <x:c r="U129" s="2" t="str">
        <x:v>高</x:v>
      </x:c>
      <x:c r="V129" s="27" t="str">
        <x:v>東北大学大学院理学研究科・理学部 概要2023</x:v>
      </x:c>
      <x:c r="W129" s="27" t="str">
        <x:v>PDF 5頁「入学者状況／大学院［博士課程前期2年の課程］」</x:v>
      </x:c>
      <x:c r="X129" s="27" t="str">
        <x:v>https://www.sci.tohoku.ac.jp/about/pdf/sci-gaiyo2023.pdf</x:v>
      </x:c>
      <x:c r="Y129" s="27" t="str">
        <x:v>専攻単位の年度合計。</x:v>
      </x:c>
      <x:c r="Z129" s="47" t="str">
        <x:v>合格者数・受験者数は概要表に掲載なし。</x:v>
      </x:c>
    </x:row>
    <x:row r="130" ht="38" customHeight="1">
      <x:c r="A130" s="2" t="str">
        <x:v>東北大学</x:v>
      </x:c>
      <x:c r="B130" s="2" t="str">
        <x:v>理学研究科</x:v>
      </x:c>
      <x:c r="C130" s="2" t="str">
        <x:v>物理学専攻</x:v>
      </x:c>
      <x:c r="D130" s="44" t="n">
        <x:v>2024</x:v>
      </x:c>
      <x:c r="E130" s="27" t="str">
        <x:v>全年合计</x:v>
      </x:c>
      <x:c r="F130" s="27" t="str">
        <x:v>博士課程前期2年の課程</x:v>
      </x:c>
      <x:c r="G130" s="27" t="str">
        <x:v>全类别合计</x:v>
      </x:c>
      <x:c r="H130" s="27" t="str">
        <x:v>专攻/系</x:v>
      </x:c>
      <x:c r="I130" s="44" t="n">
        <x:v>91</x:v>
      </x:c>
      <x:c r="J130" s="44" t="n">
        <x:v>95</x:v>
      </x:c>
      <x:c r="K130" s="44"/>
      <x:c r="L130" s="44"/>
      <x:c r="M130" s="44" t="n">
        <x:v>77</x:v>
      </x:c>
      <x:c r="N130" s="45" t="str">
        <x:f>IF(AND(J130&lt;&gt;"",L130&lt;&gt;0),J130/L130,"")</x:f>
      </x:c>
      <x:c r="O130" s="45" t="str">
        <x:f>IF(AND(K130&lt;&gt;"",L130&lt;&gt;0),K130/L130,"")</x:f>
      </x:c>
      <x:c r="P130" s="46" t="str">
        <x:f>IF(AND(K130&lt;&gt;"",K130&lt;&gt;0,L130&lt;&gt;""),L130/K130,"")</x:f>
      </x:c>
      <x:c r="Q130" s="46" t="str">
        <x:f>IF(AND(L130&lt;&gt;"",L130&lt;&gt;0,M130&lt;&gt;""),M130/L130,"")</x:f>
      </x:c>
      <x:c r="R130" s="45" t="str">
        <x:f>IF(N130&lt;&gt;"",N130,IF(O130&lt;&gt;"",O130,""))</x:f>
      </x:c>
      <x:c r="S130" s="2" t="str">
        <x:f>IF(N130&lt;&gt;"","志愿/合格",IF(O130&lt;&gt;"","受验/合格",""))</x:f>
      </x:c>
      <x:c r="T130" s="2" t="str">
        <x:v>官方</x:v>
      </x:c>
      <x:c r="U130" s="2" t="str">
        <x:v>高</x:v>
      </x:c>
      <x:c r="V130" s="27" t="str">
        <x:v>東北大学大学院理学研究科・理学部 概要2024</x:v>
      </x:c>
      <x:c r="W130" s="27" t="str">
        <x:v>PDF 5頁「入学者状況／大学院［博士課程前期2年の課程］」</x:v>
      </x:c>
      <x:c r="X130" s="27" t="str">
        <x:v>https://www.sci.tohoku.ac.jp/about/pdf/sci-gaiyo2024.pdf</x:v>
      </x:c>
      <x:c r="Y130" s="27" t="str">
        <x:v>専攻単位の年度合計。</x:v>
      </x:c>
      <x:c r="Z130" s="47" t="str">
        <x:v>合格者数・受験者数は概要表に掲載なし。</x:v>
      </x:c>
    </x:row>
    <x:row r="131" ht="38" customHeight="1">
      <x:c r="A131" s="2" t="str">
        <x:v>東北大学</x:v>
      </x:c>
      <x:c r="B131" s="2" t="str">
        <x:v>理学研究科</x:v>
      </x:c>
      <x:c r="C131" s="2" t="str">
        <x:v>物理学専攻</x:v>
      </x:c>
      <x:c r="D131" s="44" t="n">
        <x:v>2025</x:v>
      </x:c>
      <x:c r="E131" s="27" t="str">
        <x:v>全年合计</x:v>
      </x:c>
      <x:c r="F131" s="27" t="str">
        <x:v>博士課程前期2年の課程</x:v>
      </x:c>
      <x:c r="G131" s="27" t="str">
        <x:v>全类别合计</x:v>
      </x:c>
      <x:c r="H131" s="27" t="str">
        <x:v>专攻/系</x:v>
      </x:c>
      <x:c r="I131" s="44" t="n">
        <x:v>91</x:v>
      </x:c>
      <x:c r="J131" s="44" t="n">
        <x:v>95</x:v>
      </x:c>
      <x:c r="K131" s="44"/>
      <x:c r="L131" s="44"/>
      <x:c r="M131" s="44" t="n">
        <x:v>81</x:v>
      </x:c>
      <x:c r="N131" s="45" t="str">
        <x:f>IF(AND(J131&lt;&gt;"",L131&lt;&gt;0),J131/L131,"")</x:f>
      </x:c>
      <x:c r="O131" s="45" t="str">
        <x:f>IF(AND(K131&lt;&gt;"",L131&lt;&gt;0),K131/L131,"")</x:f>
      </x:c>
      <x:c r="P131" s="46" t="str">
        <x:f>IF(AND(K131&lt;&gt;"",K131&lt;&gt;0,L131&lt;&gt;""),L131/K131,"")</x:f>
      </x:c>
      <x:c r="Q131" s="46" t="str">
        <x:f>IF(AND(L131&lt;&gt;"",L131&lt;&gt;0,M131&lt;&gt;""),M131/L131,"")</x:f>
      </x:c>
      <x:c r="R131" s="45" t="str">
        <x:f>IF(N131&lt;&gt;"",N131,IF(O131&lt;&gt;"",O131,""))</x:f>
      </x:c>
      <x:c r="S131" s="2" t="str">
        <x:f>IF(N131&lt;&gt;"","志愿/合格",IF(O131&lt;&gt;"","受验/合格",""))</x:f>
      </x:c>
      <x:c r="T131" s="2" t="str">
        <x:v>官方</x:v>
      </x:c>
      <x:c r="U131" s="2" t="str">
        <x:v>高</x:v>
      </x:c>
      <x:c r="V131" s="27" t="str">
        <x:v>東北大学大学院理学研究科・理学部 概要2025</x:v>
      </x:c>
      <x:c r="W131" s="27" t="str">
        <x:v>PDF 5頁「入学者状況／大学院［博士課程前期2年の課程］」</x:v>
      </x:c>
      <x:c r="X131" s="27" t="str">
        <x:v>https://www.sci.tohoku.ac.jp/about/pdf/sci-gaiyo2025.pdf</x:v>
      </x:c>
      <x:c r="Y131" s="27" t="str">
        <x:v>専攻単位の年度合計。</x:v>
      </x:c>
      <x:c r="Z131" s="47" t="str">
        <x:v>合格者数・受験者数は概要表に掲載なし。</x:v>
      </x:c>
    </x:row>
    <x:row r="132" ht="38" customHeight="1">
      <x:c r="A132" s="2" t="str">
        <x:v>大阪大学</x:v>
      </x:c>
      <x:c r="B132" s="2" t="str">
        <x:v>基礎工学研究科</x:v>
      </x:c>
      <x:c r="C132" s="2" t="str">
        <x:v>研究科合計</x:v>
      </x:c>
      <x:c r="D132" s="44" t="n">
        <x:v>2024</x:v>
      </x:c>
      <x:c r="E132" s="27" t="str">
        <x:v>4月入学</x:v>
      </x:c>
      <x:c r="F132" s="27" t="str">
        <x:v>博士前期課程・修士課程</x:v>
      </x:c>
      <x:c r="G132" s="27" t="str">
        <x:v>全类别合计</x:v>
      </x:c>
      <x:c r="H132" s="27" t="str">
        <x:v>研究科合计</x:v>
      </x:c>
      <x:c r="I132" s="44" t="n">
        <x:v>267</x:v>
      </x:c>
      <x:c r="J132" s="44" t="n">
        <x:v>365</x:v>
      </x:c>
      <x:c r="K132" s="44" t="n">
        <x:v>353</x:v>
      </x:c>
      <x:c r="L132" s="44" t="n">
        <x:v>287</x:v>
      </x:c>
      <x:c r="M132" s="44" t="n">
        <x:v>276</x:v>
      </x:c>
      <x:c r="N132" s="45" t="n">
        <x:f>IF(AND(J132&lt;&gt;"",L132&lt;&gt;0),J132/L132,"")</x:f>
        <x:v>1.2717770034843205</x:v>
      </x:c>
      <x:c r="O132" s="45" t="n">
        <x:f>IF(AND(K132&lt;&gt;"",L132&lt;&gt;0),K132/L132,"")</x:f>
        <x:v>1.2299651567944252</x:v>
      </x:c>
      <x:c r="P132" s="46" t="n">
        <x:f>IF(AND(K132&lt;&gt;"",K132&lt;&gt;0,L132&lt;&gt;""),L132/K132,"")</x:f>
        <x:v>0.8130311614730878</x:v>
      </x:c>
      <x:c r="Q132" s="46" t="n">
        <x:f>IF(AND(L132&lt;&gt;"",L132&lt;&gt;0,M132&lt;&gt;""),M132/L132,"")</x:f>
        <x:v>0.9616724738675958</x:v>
      </x:c>
      <x:c r="R132" s="45" t="n">
        <x:f>IF(N132&lt;&gt;"",N132,IF(O132&lt;&gt;"",O132,""))</x:f>
        <x:v>1.2717770034843205</x:v>
      </x:c>
      <x:c r="S132" s="2" t="str">
        <x:f>IF(N132&lt;&gt;"","志愿/合格",IF(O132&lt;&gt;"","受验/合格",""))</x:f>
        <x:v>志愿/合格</x:v>
      </x:c>
      <x:c r="T132" s="2" t="str">
        <x:v>官方</x:v>
      </x:c>
      <x:c r="U132" s="2" t="str">
        <x:v>高</x:v>
      </x:c>
      <x:c r="V132" s="27" t="str">
        <x:v>2024年度 大学院入学状況（2024年4月入学）</x:v>
      </x:c>
      <x:c r="W132" s="27" t="str">
        <x:v>PDF「大学院入学状況」該当研究科行</x:v>
      </x:c>
      <x:c r="X132" s="27" t="str">
        <x:v>https://www.osaka-u.ac.jp/++api++/ja/admissions/files/202404_daigakuin.pdf/@@download/file?expand=translations</x:v>
      </x:c>
      <x:c r="Y132" s="27" t="str">
        <x:v>研究科合計。個別専攻・講座・入試区分には配分不可。</x:v>
      </x:c>
      <x:c r="Z132" s="47" t="str">
        <x:v>プロジェクト内の専攻級データがない場合の難易度背景としてのみ使用。</x:v>
      </x:c>
    </x:row>
    <x:row r="133" ht="38" customHeight="1">
      <x:c r="A133" s="2" t="str">
        <x:v>大阪大学</x:v>
      </x:c>
      <x:c r="B133" s="2" t="str">
        <x:v>工学研究科</x:v>
      </x:c>
      <x:c r="C133" s="2" t="str">
        <x:v>研究科合計</x:v>
      </x:c>
      <x:c r="D133" s="44" t="n">
        <x:v>2024</x:v>
      </x:c>
      <x:c r="E133" s="27" t="str">
        <x:v>4月入学</x:v>
      </x:c>
      <x:c r="F133" s="27" t="str">
        <x:v>博士前期課程・修士課程</x:v>
      </x:c>
      <x:c r="G133" s="27" t="str">
        <x:v>全类别合计</x:v>
      </x:c>
      <x:c r="H133" s="27" t="str">
        <x:v>研究科合计</x:v>
      </x:c>
      <x:c r="I133" s="44" t="n">
        <x:v>811</x:v>
      </x:c>
      <x:c r="J133" s="44" t="n">
        <x:v>982</x:v>
      </x:c>
      <x:c r="K133" s="44" t="n">
        <x:v>950</x:v>
      </x:c>
      <x:c r="L133" s="44" t="n">
        <x:v>858</x:v>
      </x:c>
      <x:c r="M133" s="44" t="n">
        <x:v>813</x:v>
      </x:c>
      <x:c r="N133" s="45" t="n">
        <x:f>IF(AND(J133&lt;&gt;"",L133&lt;&gt;0),J133/L133,"")</x:f>
        <x:v>1.1445221445221445</x:v>
      </x:c>
      <x:c r="O133" s="45" t="n">
        <x:f>IF(AND(K133&lt;&gt;"",L133&lt;&gt;0),K133/L133,"")</x:f>
        <x:v>1.1072261072261071</x:v>
      </x:c>
      <x:c r="P133" s="46" t="n">
        <x:f>IF(AND(K133&lt;&gt;"",K133&lt;&gt;0,L133&lt;&gt;""),L133/K133,"")</x:f>
        <x:v>0.9031578947368422</x:v>
      </x:c>
      <x:c r="Q133" s="46" t="n">
        <x:f>IF(AND(L133&lt;&gt;"",L133&lt;&gt;0,M133&lt;&gt;""),M133/L133,"")</x:f>
        <x:v>0.9475524475524476</x:v>
      </x:c>
      <x:c r="R133" s="45" t="n">
        <x:f>IF(N133&lt;&gt;"",N133,IF(O133&lt;&gt;"",O133,""))</x:f>
        <x:v>1.1445221445221445</x:v>
      </x:c>
      <x:c r="S133" s="2" t="str">
        <x:f>IF(N133&lt;&gt;"","志愿/合格",IF(O133&lt;&gt;"","受验/合格",""))</x:f>
        <x:v>志愿/合格</x:v>
      </x:c>
      <x:c r="T133" s="2" t="str">
        <x:v>官方</x:v>
      </x:c>
      <x:c r="U133" s="2" t="str">
        <x:v>高</x:v>
      </x:c>
      <x:c r="V133" s="27" t="str">
        <x:v>2024年度 大学院入学状況（2024年4月入学）</x:v>
      </x:c>
      <x:c r="W133" s="27" t="str">
        <x:v>PDF「大学院入学状況」該当研究科行</x:v>
      </x:c>
      <x:c r="X133" s="27" t="str">
        <x:v>https://www.osaka-u.ac.jp/++api++/ja/admissions/files/202404_daigakuin.pdf/@@download/file?expand=translations</x:v>
      </x:c>
      <x:c r="Y133" s="27" t="str">
        <x:v>研究科合計。個別専攻・講座・入試区分には配分不可。</x:v>
      </x:c>
      <x:c r="Z133" s="47" t="str">
        <x:v>プロジェクト内の専攻級データがない場合の難易度背景としてのみ使用。</x:v>
      </x:c>
    </x:row>
    <x:row r="134" ht="38" customHeight="1">
      <x:c r="A134" s="2" t="str">
        <x:v>大阪大学</x:v>
      </x:c>
      <x:c r="B134" s="2" t="str">
        <x:v>情報科学研究科</x:v>
      </x:c>
      <x:c r="C134" s="2" t="str">
        <x:v>研究科合計</x:v>
      </x:c>
      <x:c r="D134" s="44" t="n">
        <x:v>2024</x:v>
      </x:c>
      <x:c r="E134" s="27" t="str">
        <x:v>4月入学</x:v>
      </x:c>
      <x:c r="F134" s="27" t="str">
        <x:v>博士前期課程・修士課程</x:v>
      </x:c>
      <x:c r="G134" s="27" t="str">
        <x:v>全类别合计</x:v>
      </x:c>
      <x:c r="H134" s="27" t="str">
        <x:v>研究科合计</x:v>
      </x:c>
      <x:c r="I134" s="44" t="n">
        <x:v>160</x:v>
      </x:c>
      <x:c r="J134" s="44" t="n">
        <x:v>361</x:v>
      </x:c>
      <x:c r="K134" s="44" t="n">
        <x:v>313</x:v>
      </x:c>
      <x:c r="L134" s="44" t="n">
        <x:v>199</x:v>
      </x:c>
      <x:c r="M134" s="44" t="n">
        <x:v>173</x:v>
      </x:c>
      <x:c r="N134" s="45" t="n">
        <x:f>IF(AND(J134&lt;&gt;"",L134&lt;&gt;0),J134/L134,"")</x:f>
        <x:v>1.814070351758794</x:v>
      </x:c>
      <x:c r="O134" s="45" t="n">
        <x:f>IF(AND(K134&lt;&gt;"",L134&lt;&gt;0),K134/L134,"")</x:f>
        <x:v>1.5728643216080402</x:v>
      </x:c>
      <x:c r="P134" s="46" t="n">
        <x:f>IF(AND(K134&lt;&gt;"",K134&lt;&gt;0,L134&lt;&gt;""),L134/K134,"")</x:f>
        <x:v>0.6357827476038339</x:v>
      </x:c>
      <x:c r="Q134" s="46" t="n">
        <x:f>IF(AND(L134&lt;&gt;"",L134&lt;&gt;0,M134&lt;&gt;""),M134/L134,"")</x:f>
        <x:v>0.8693467336683417</x:v>
      </x:c>
      <x:c r="R134" s="45" t="n">
        <x:f>IF(N134&lt;&gt;"",N134,IF(O134&lt;&gt;"",O134,""))</x:f>
        <x:v>1.814070351758794</x:v>
      </x:c>
      <x:c r="S134" s="2" t="str">
        <x:f>IF(N134&lt;&gt;"","志愿/合格",IF(O134&lt;&gt;"","受验/合格",""))</x:f>
        <x:v>志愿/合格</x:v>
      </x:c>
      <x:c r="T134" s="2" t="str">
        <x:v>官方</x:v>
      </x:c>
      <x:c r="U134" s="2" t="str">
        <x:v>高</x:v>
      </x:c>
      <x:c r="V134" s="27" t="str">
        <x:v>2024年度 大学院入学状況（2024年4月入学）</x:v>
      </x:c>
      <x:c r="W134" s="27" t="str">
        <x:v>PDF「大学院入学状況」該当研究科行</x:v>
      </x:c>
      <x:c r="X134" s="27" t="str">
        <x:v>https://www.osaka-u.ac.jp/++api++/ja/admissions/files/202404_daigakuin.pdf/@@download/file?expand=translations</x:v>
      </x:c>
      <x:c r="Y134" s="27" t="str">
        <x:v>研究科合計。個別専攻・講座・入試区分には配分不可。</x:v>
      </x:c>
      <x:c r="Z134" s="47" t="str">
        <x:v>プロジェクト内の専攻級データがない場合の難易度背景としてのみ使用。</x:v>
      </x:c>
    </x:row>
    <x:row r="135" ht="38" customHeight="1">
      <x:c r="A135" s="2" t="str">
        <x:v>大阪大学</x:v>
      </x:c>
      <x:c r="B135" s="2" t="str">
        <x:v>情報科学研究科</x:v>
      </x:c>
      <x:c r="C135" s="2" t="str">
        <x:v>情報基礎数学専攻</x:v>
      </x:c>
      <x:c r="D135" s="44" t="n">
        <x:v>2022</x:v>
      </x:c>
      <x:c r="E135" s="27" t="str">
        <x:v>全年合计（4月1日・10月1日入学）</x:v>
      </x:c>
      <x:c r="F135" s="27" t="str">
        <x:v>博士前期課程</x:v>
      </x:c>
      <x:c r="G135" s="27" t="str">
        <x:v>全类别合计</x:v>
      </x:c>
      <x:c r="H135" s="27" t="str">
        <x:v>专攻/系</x:v>
      </x:c>
      <x:c r="I135" s="44" t="n">
        <x:v>12</x:v>
      </x:c>
      <x:c r="J135" s="44"/>
      <x:c r="K135" s="44"/>
      <x:c r="L135" s="44"/>
      <x:c r="M135" s="44" t="n">
        <x:v>12</x:v>
      </x:c>
      <x:c r="N135" s="45" t="str">
        <x:f>IF(AND(J135&lt;&gt;"",L135&lt;&gt;0),J135/L135,"")</x:f>
      </x:c>
      <x:c r="O135" s="45" t="str">
        <x:f>IF(AND(K135&lt;&gt;"",L135&lt;&gt;0),K135/L135,"")</x:f>
      </x:c>
      <x:c r="P135" s="46" t="str">
        <x:f>IF(AND(K135&lt;&gt;"",K135&lt;&gt;0,L135&lt;&gt;""),L135/K135,"")</x:f>
      </x:c>
      <x:c r="Q135" s="46" t="str">
        <x:f>IF(AND(L135&lt;&gt;"",L135&lt;&gt;0,M135&lt;&gt;""),M135/L135,"")</x:f>
      </x:c>
      <x:c r="R135" s="45" t="str">
        <x:f>IF(N135&lt;&gt;"",N135,IF(O135&lt;&gt;"",O135,""))</x:f>
      </x:c>
      <x:c r="S135" s="2" t="str">
        <x:f>IF(N135&lt;&gt;"","志愿/合格",IF(O135&lt;&gt;"","受验/合格",""))</x:f>
      </x:c>
      <x:c r="T135" s="2" t="str">
        <x:v>官方</x:v>
      </x:c>
      <x:c r="U135" s="2" t="str">
        <x:v>高</x:v>
      </x:c>
      <x:c r="V135" s="27" t="str">
        <x:v>IST PLAZA 第18号</x:v>
      </x:c>
      <x:c r="W135" s="27" t="str">
        <x:v>PDF 73頁前後「入学・修了者数（令和4年度）」博士前期課程</x:v>
      </x:c>
      <x:c r="X135" s="27" t="str">
        <x:v>https://www.ist.osaka-u.ac.jp/files/overview/publication/publicationIstPlaza_No18.pdf</x:v>
      </x:c>
      <x:c r="Y135" s="27" t="str">
        <x:v>専攻単位。定員と年度中の入学者数。</x:v>
      </x:c>
      <x:c r="Z135" s="47" t="str">
        <x:v>志願者・受験者・合格者は年報表に掲載なし。10月入学英語コースを含む。</x:v>
      </x:c>
    </x:row>
    <x:row r="136" ht="38" customHeight="1">
      <x:c r="A136" s="2" t="str">
        <x:v>大阪大学</x:v>
      </x:c>
      <x:c r="B136" s="2" t="str">
        <x:v>情報科学研究科</x:v>
      </x:c>
      <x:c r="C136" s="2" t="str">
        <x:v>情報基礎数学専攻</x:v>
      </x:c>
      <x:c r="D136" s="44" t="n">
        <x:v>2023</x:v>
      </x:c>
      <x:c r="E136" s="27" t="str">
        <x:v>全年合计（4月1日・10月1日入学）</x:v>
      </x:c>
      <x:c r="F136" s="27" t="str">
        <x:v>博士前期課程</x:v>
      </x:c>
      <x:c r="G136" s="27" t="str">
        <x:v>全类别合计</x:v>
      </x:c>
      <x:c r="H136" s="27" t="str">
        <x:v>专攻/系</x:v>
      </x:c>
      <x:c r="I136" s="44" t="n">
        <x:v>12</x:v>
      </x:c>
      <x:c r="J136" s="44"/>
      <x:c r="K136" s="44"/>
      <x:c r="L136" s="44"/>
      <x:c r="M136" s="44" t="n">
        <x:v>9</x:v>
      </x:c>
      <x:c r="N136" s="45" t="str">
        <x:f>IF(AND(J136&lt;&gt;"",L136&lt;&gt;0),J136/L136,"")</x:f>
      </x:c>
      <x:c r="O136" s="45" t="str">
        <x:f>IF(AND(K136&lt;&gt;"",L136&lt;&gt;0),K136/L136,"")</x:f>
      </x:c>
      <x:c r="P136" s="46" t="str">
        <x:f>IF(AND(K136&lt;&gt;"",K136&lt;&gt;0,L136&lt;&gt;""),L136/K136,"")</x:f>
      </x:c>
      <x:c r="Q136" s="46" t="str">
        <x:f>IF(AND(L136&lt;&gt;"",L136&lt;&gt;0,M136&lt;&gt;""),M136/L136,"")</x:f>
      </x:c>
      <x:c r="R136" s="45" t="str">
        <x:f>IF(N136&lt;&gt;"",N136,IF(O136&lt;&gt;"",O136,""))</x:f>
      </x:c>
      <x:c r="S136" s="2" t="str">
        <x:f>IF(N136&lt;&gt;"","志愿/合格",IF(O136&lt;&gt;"","受验/合格",""))</x:f>
      </x:c>
      <x:c r="T136" s="2" t="str">
        <x:v>官方</x:v>
      </x:c>
      <x:c r="U136" s="2" t="str">
        <x:v>高</x:v>
      </x:c>
      <x:c r="V136" s="27" t="str">
        <x:v>IST PLAZA 第19号</x:v>
      </x:c>
      <x:c r="W136" s="27" t="str">
        <x:v>PDF 73頁前後「入学・修了者数（令和5年度）」博士前期課程</x:v>
      </x:c>
      <x:c r="X136" s="27" t="str">
        <x:v>https://www.ist.osaka-u.ac.jp/files/overview/publication/publicationIstPlaza_No19.pdf</x:v>
      </x:c>
      <x:c r="Y136" s="27" t="str">
        <x:v>専攻単位。定員と年度中の入学者数。</x:v>
      </x:c>
      <x:c r="Z136" s="47" t="str">
        <x:v>志願者・受験者・合格者は年報表に掲載なし。10月入学英語コースを含む。</x:v>
      </x:c>
    </x:row>
    <x:row r="137" ht="38" customHeight="1">
      <x:c r="A137" s="2" t="str">
        <x:v>大阪大学</x:v>
      </x:c>
      <x:c r="B137" s="2" t="str">
        <x:v>情報科学研究科</x:v>
      </x:c>
      <x:c r="C137" s="2" t="str">
        <x:v>情報基礎数学専攻</x:v>
      </x:c>
      <x:c r="D137" s="44" t="n">
        <x:v>2024</x:v>
      </x:c>
      <x:c r="E137" s="27" t="str">
        <x:v>全年合计（4月1日・10月1日入学）</x:v>
      </x:c>
      <x:c r="F137" s="27" t="str">
        <x:v>博士前期課程</x:v>
      </x:c>
      <x:c r="G137" s="27" t="str">
        <x:v>全类别合计</x:v>
      </x:c>
      <x:c r="H137" s="27" t="str">
        <x:v>专攻/系</x:v>
      </x:c>
      <x:c r="I137" s="44" t="n">
        <x:v>12</x:v>
      </x:c>
      <x:c r="J137" s="44"/>
      <x:c r="K137" s="44"/>
      <x:c r="L137" s="44"/>
      <x:c r="M137" s="44" t="n">
        <x:v>14</x:v>
      </x:c>
      <x:c r="N137" s="45" t="str">
        <x:f>IF(AND(J137&lt;&gt;"",L137&lt;&gt;0),J137/L137,"")</x:f>
      </x:c>
      <x:c r="O137" s="45" t="str">
        <x:f>IF(AND(K137&lt;&gt;"",L137&lt;&gt;0),K137/L137,"")</x:f>
      </x:c>
      <x:c r="P137" s="46" t="str">
        <x:f>IF(AND(K137&lt;&gt;"",K137&lt;&gt;0,L137&lt;&gt;""),L137/K137,"")</x:f>
      </x:c>
      <x:c r="Q137" s="46" t="str">
        <x:f>IF(AND(L137&lt;&gt;"",L137&lt;&gt;0,M137&lt;&gt;""),M137/L137,"")</x:f>
      </x:c>
      <x:c r="R137" s="45" t="str">
        <x:f>IF(N137&lt;&gt;"",N137,IF(O137&lt;&gt;"",O137,""))</x:f>
      </x:c>
      <x:c r="S137" s="2" t="str">
        <x:f>IF(N137&lt;&gt;"","志愿/合格",IF(O137&lt;&gt;"","受验/合格",""))</x:f>
      </x:c>
      <x:c r="T137" s="2" t="str">
        <x:v>官方</x:v>
      </x:c>
      <x:c r="U137" s="2" t="str">
        <x:v>高</x:v>
      </x:c>
      <x:c r="V137" s="27" t="str">
        <x:v>IST PLAZA 第20号</x:v>
      </x:c>
      <x:c r="W137" s="27" t="str">
        <x:v>PDF 73頁前後「入学・修了者数（令和6年度）」博士前期課程</x:v>
      </x:c>
      <x:c r="X137" s="27" t="str">
        <x:v>https://www.ist.osaka-u.ac.jp/files/overview/publication/publicationIstPlaza_No20.pdf</x:v>
      </x:c>
      <x:c r="Y137" s="27" t="str">
        <x:v>専攻単位。定員と年度中の入学者数。</x:v>
      </x:c>
      <x:c r="Z137" s="47" t="str">
        <x:v>志願者・受験者・合格者は年報表に掲載なし。10月入学英語コースを含む。</x:v>
      </x:c>
    </x:row>
    <x:row r="138" ht="38" customHeight="1">
      <x:c r="A138" s="2" t="str">
        <x:v>大阪大学</x:v>
      </x:c>
      <x:c r="B138" s="2" t="str">
        <x:v>情報科学研究科</x:v>
      </x:c>
      <x:c r="C138" s="2" t="str">
        <x:v>情報基礎数学専攻</x:v>
      </x:c>
      <x:c r="D138" s="44" t="n">
        <x:v>2025</x:v>
      </x:c>
      <x:c r="E138" s="27" t="str">
        <x:v>全年合计（4月1日・10月1日入学）</x:v>
      </x:c>
      <x:c r="F138" s="27" t="str">
        <x:v>博士前期課程</x:v>
      </x:c>
      <x:c r="G138" s="27" t="str">
        <x:v>全类别合计</x:v>
      </x:c>
      <x:c r="H138" s="27" t="str">
        <x:v>专攻/系</x:v>
      </x:c>
      <x:c r="I138" s="44" t="n">
        <x:v>12</x:v>
      </x:c>
      <x:c r="J138" s="44"/>
      <x:c r="K138" s="44"/>
      <x:c r="L138" s="44"/>
      <x:c r="M138" s="44" t="n">
        <x:v>12</x:v>
      </x:c>
      <x:c r="N138" s="45" t="str">
        <x:f>IF(AND(J138&lt;&gt;"",L138&lt;&gt;0),J138/L138,"")</x:f>
      </x:c>
      <x:c r="O138" s="45" t="str">
        <x:f>IF(AND(K138&lt;&gt;"",L138&lt;&gt;0),K138/L138,"")</x:f>
      </x:c>
      <x:c r="P138" s="46" t="str">
        <x:f>IF(AND(K138&lt;&gt;"",K138&lt;&gt;0,L138&lt;&gt;""),L138/K138,"")</x:f>
      </x:c>
      <x:c r="Q138" s="46" t="str">
        <x:f>IF(AND(L138&lt;&gt;"",L138&lt;&gt;0,M138&lt;&gt;""),M138/L138,"")</x:f>
      </x:c>
      <x:c r="R138" s="45" t="str">
        <x:f>IF(N138&lt;&gt;"",N138,IF(O138&lt;&gt;"",O138,""))</x:f>
      </x:c>
      <x:c r="S138" s="2" t="str">
        <x:f>IF(N138&lt;&gt;"","志愿/合格",IF(O138&lt;&gt;"","受验/合格",""))</x:f>
      </x:c>
      <x:c r="T138" s="2" t="str">
        <x:v>官方</x:v>
      </x:c>
      <x:c r="U138" s="2" t="str">
        <x:v>高</x:v>
      </x:c>
      <x:c r="V138" s="27" t="str">
        <x:v>IST PLAZA 第21号</x:v>
      </x:c>
      <x:c r="W138" s="27" t="str">
        <x:v>PDF 73頁前後「入学・修了者数（令和7年度）」博士前期課程</x:v>
      </x:c>
      <x:c r="X138" s="27" t="str">
        <x:v>https://www.ist.osaka-u.ac.jp/files/overview/publication/publicationIstPlaza_No21.pdf</x:v>
      </x:c>
      <x:c r="Y138" s="27" t="str">
        <x:v>専攻単位。定員と年度中の入学者数。</x:v>
      </x:c>
      <x:c r="Z138" s="47" t="str">
        <x:v>志願者・受験者・合格者は年報表に掲載なし。10月入学英語コースを含む。</x:v>
      </x:c>
    </x:row>
    <x:row r="139" ht="38" customHeight="1">
      <x:c r="A139" s="2" t="str">
        <x:v>大阪大学</x:v>
      </x:c>
      <x:c r="B139" s="2" t="str">
        <x:v>情報科学研究科</x:v>
      </x:c>
      <x:c r="C139" s="2" t="str">
        <x:v>情報数理学専攻</x:v>
      </x:c>
      <x:c r="D139" s="44" t="n">
        <x:v>2022</x:v>
      </x:c>
      <x:c r="E139" s="27" t="str">
        <x:v>全年合计（4月1日・10月1日入学）</x:v>
      </x:c>
      <x:c r="F139" s="27" t="str">
        <x:v>博士前期課程</x:v>
      </x:c>
      <x:c r="G139" s="27" t="str">
        <x:v>全类别合计</x:v>
      </x:c>
      <x:c r="H139" s="27" t="str">
        <x:v>专攻/系</x:v>
      </x:c>
      <x:c r="I139" s="44" t="n">
        <x:v>20</x:v>
      </x:c>
      <x:c r="J139" s="44"/>
      <x:c r="K139" s="44"/>
      <x:c r="L139" s="44"/>
      <x:c r="M139" s="44" t="n">
        <x:v>18</x:v>
      </x:c>
      <x:c r="N139" s="45" t="str">
        <x:f>IF(AND(J139&lt;&gt;"",L139&lt;&gt;0),J139/L139,"")</x:f>
      </x:c>
      <x:c r="O139" s="45" t="str">
        <x:f>IF(AND(K139&lt;&gt;"",L139&lt;&gt;0),K139/L139,"")</x:f>
      </x:c>
      <x:c r="P139" s="46" t="str">
        <x:f>IF(AND(K139&lt;&gt;"",K139&lt;&gt;0,L139&lt;&gt;""),L139/K139,"")</x:f>
      </x:c>
      <x:c r="Q139" s="46" t="str">
        <x:f>IF(AND(L139&lt;&gt;"",L139&lt;&gt;0,M139&lt;&gt;""),M139/L139,"")</x:f>
      </x:c>
      <x:c r="R139" s="45" t="str">
        <x:f>IF(N139&lt;&gt;"",N139,IF(O139&lt;&gt;"",O139,""))</x:f>
      </x:c>
      <x:c r="S139" s="2" t="str">
        <x:f>IF(N139&lt;&gt;"","志愿/合格",IF(O139&lt;&gt;"","受验/合格",""))</x:f>
      </x:c>
      <x:c r="T139" s="2" t="str">
        <x:v>官方</x:v>
      </x:c>
      <x:c r="U139" s="2" t="str">
        <x:v>高</x:v>
      </x:c>
      <x:c r="V139" s="27" t="str">
        <x:v>IST PLAZA 第18号</x:v>
      </x:c>
      <x:c r="W139" s="27" t="str">
        <x:v>PDF 73頁前後「入学・修了者数（令和4年度）」博士前期課程</x:v>
      </x:c>
      <x:c r="X139" s="27" t="str">
        <x:v>https://www.ist.osaka-u.ac.jp/files/overview/publication/publicationIstPlaza_No18.pdf</x:v>
      </x:c>
      <x:c r="Y139" s="27" t="str">
        <x:v>専攻単位。定員と年度中の入学者数。</x:v>
      </x:c>
      <x:c r="Z139" s="47" t="str">
        <x:v>志願者・受験者・合格者は年報表に掲載なし。10月入学英語コースを含む。</x:v>
      </x:c>
    </x:row>
    <x:row r="140" ht="38" customHeight="1">
      <x:c r="A140" s="2" t="str">
        <x:v>大阪大学</x:v>
      </x:c>
      <x:c r="B140" s="2" t="str">
        <x:v>情報科学研究科</x:v>
      </x:c>
      <x:c r="C140" s="2" t="str">
        <x:v>情報数理学専攻</x:v>
      </x:c>
      <x:c r="D140" s="44" t="n">
        <x:v>2023</x:v>
      </x:c>
      <x:c r="E140" s="27" t="str">
        <x:v>全年合计（4月1日・10月1日入学）</x:v>
      </x:c>
      <x:c r="F140" s="27" t="str">
        <x:v>博士前期課程</x:v>
      </x:c>
      <x:c r="G140" s="27" t="str">
        <x:v>全类别合计</x:v>
      </x:c>
      <x:c r="H140" s="27" t="str">
        <x:v>专攻/系</x:v>
      </x:c>
      <x:c r="I140" s="44" t="n">
        <x:v>20</x:v>
      </x:c>
      <x:c r="J140" s="44"/>
      <x:c r="K140" s="44"/>
      <x:c r="L140" s="44"/>
      <x:c r="M140" s="44" t="n">
        <x:v>21</x:v>
      </x:c>
      <x:c r="N140" s="45" t="str">
        <x:f>IF(AND(J140&lt;&gt;"",L140&lt;&gt;0),J140/L140,"")</x:f>
      </x:c>
      <x:c r="O140" s="45" t="str">
        <x:f>IF(AND(K140&lt;&gt;"",L140&lt;&gt;0),K140/L140,"")</x:f>
      </x:c>
      <x:c r="P140" s="46" t="str">
        <x:f>IF(AND(K140&lt;&gt;"",K140&lt;&gt;0,L140&lt;&gt;""),L140/K140,"")</x:f>
      </x:c>
      <x:c r="Q140" s="46" t="str">
        <x:f>IF(AND(L140&lt;&gt;"",L140&lt;&gt;0,M140&lt;&gt;""),M140/L140,"")</x:f>
      </x:c>
      <x:c r="R140" s="45" t="str">
        <x:f>IF(N140&lt;&gt;"",N140,IF(O140&lt;&gt;"",O140,""))</x:f>
      </x:c>
      <x:c r="S140" s="2" t="str">
        <x:f>IF(N140&lt;&gt;"","志愿/合格",IF(O140&lt;&gt;"","受验/合格",""))</x:f>
      </x:c>
      <x:c r="T140" s="2" t="str">
        <x:v>官方</x:v>
      </x:c>
      <x:c r="U140" s="2" t="str">
        <x:v>高</x:v>
      </x:c>
      <x:c r="V140" s="27" t="str">
        <x:v>IST PLAZA 第19号</x:v>
      </x:c>
      <x:c r="W140" s="27" t="str">
        <x:v>PDF 73頁前後「入学・修了者数（令和5年度）」博士前期課程</x:v>
      </x:c>
      <x:c r="X140" s="27" t="str">
        <x:v>https://www.ist.osaka-u.ac.jp/files/overview/publication/publicationIstPlaza_No19.pdf</x:v>
      </x:c>
      <x:c r="Y140" s="27" t="str">
        <x:v>専攻単位。定員と年度中の入学者数。</x:v>
      </x:c>
      <x:c r="Z140" s="47" t="str">
        <x:v>志願者・受験者・合格者は年報表に掲載なし。10月入学英語コースを含む。</x:v>
      </x:c>
    </x:row>
    <x:row r="141" ht="38" customHeight="1">
      <x:c r="A141" s="2" t="str">
        <x:v>大阪大学</x:v>
      </x:c>
      <x:c r="B141" s="2" t="str">
        <x:v>情報科学研究科</x:v>
      </x:c>
      <x:c r="C141" s="2" t="str">
        <x:v>情報数理学専攻</x:v>
      </x:c>
      <x:c r="D141" s="44" t="n">
        <x:v>2024</x:v>
      </x:c>
      <x:c r="E141" s="27" t="str">
        <x:v>全年合计（4月1日・10月1日入学）</x:v>
      </x:c>
      <x:c r="F141" s="27" t="str">
        <x:v>博士前期課程</x:v>
      </x:c>
      <x:c r="G141" s="27" t="str">
        <x:v>全类别合计</x:v>
      </x:c>
      <x:c r="H141" s="27" t="str">
        <x:v>专攻/系</x:v>
      </x:c>
      <x:c r="I141" s="44" t="n">
        <x:v>20</x:v>
      </x:c>
      <x:c r="J141" s="44"/>
      <x:c r="K141" s="44"/>
      <x:c r="L141" s="44"/>
      <x:c r="M141" s="44" t="n">
        <x:v>16</x:v>
      </x:c>
      <x:c r="N141" s="45" t="str">
        <x:f>IF(AND(J141&lt;&gt;"",L141&lt;&gt;0),J141/L141,"")</x:f>
      </x:c>
      <x:c r="O141" s="45" t="str">
        <x:f>IF(AND(K141&lt;&gt;"",L141&lt;&gt;0),K141/L141,"")</x:f>
      </x:c>
      <x:c r="P141" s="46" t="str">
        <x:f>IF(AND(K141&lt;&gt;"",K141&lt;&gt;0,L141&lt;&gt;""),L141/K141,"")</x:f>
      </x:c>
      <x:c r="Q141" s="46" t="str">
        <x:f>IF(AND(L141&lt;&gt;"",L141&lt;&gt;0,M141&lt;&gt;""),M141/L141,"")</x:f>
      </x:c>
      <x:c r="R141" s="45" t="str">
        <x:f>IF(N141&lt;&gt;"",N141,IF(O141&lt;&gt;"",O141,""))</x:f>
      </x:c>
      <x:c r="S141" s="2" t="str">
        <x:f>IF(N141&lt;&gt;"","志愿/合格",IF(O141&lt;&gt;"","受验/合格",""))</x:f>
      </x:c>
      <x:c r="T141" s="2" t="str">
        <x:v>官方</x:v>
      </x:c>
      <x:c r="U141" s="2" t="str">
        <x:v>高</x:v>
      </x:c>
      <x:c r="V141" s="27" t="str">
        <x:v>IST PLAZA 第20号</x:v>
      </x:c>
      <x:c r="W141" s="27" t="str">
        <x:v>PDF 73頁前後「入学・修了者数（令和6年度）」博士前期課程</x:v>
      </x:c>
      <x:c r="X141" s="27" t="str">
        <x:v>https://www.ist.osaka-u.ac.jp/files/overview/publication/publicationIstPlaza_No20.pdf</x:v>
      </x:c>
      <x:c r="Y141" s="27" t="str">
        <x:v>専攻単位。定員と年度中の入学者数。</x:v>
      </x:c>
      <x:c r="Z141" s="47" t="str">
        <x:v>志願者・受験者・合格者は年報表に掲載なし。10月入学英語コースを含む。</x:v>
      </x:c>
    </x:row>
    <x:row r="142" ht="38" customHeight="1">
      <x:c r="A142" s="2" t="str">
        <x:v>大阪大学</x:v>
      </x:c>
      <x:c r="B142" s="2" t="str">
        <x:v>情報科学研究科</x:v>
      </x:c>
      <x:c r="C142" s="2" t="str">
        <x:v>情報数理学専攻</x:v>
      </x:c>
      <x:c r="D142" s="44" t="n">
        <x:v>2025</x:v>
      </x:c>
      <x:c r="E142" s="27" t="str">
        <x:v>全年合计（4月1日・10月1日入学）</x:v>
      </x:c>
      <x:c r="F142" s="27" t="str">
        <x:v>博士前期課程</x:v>
      </x:c>
      <x:c r="G142" s="27" t="str">
        <x:v>全类别合计</x:v>
      </x:c>
      <x:c r="H142" s="27" t="str">
        <x:v>专攻/系</x:v>
      </x:c>
      <x:c r="I142" s="44" t="n">
        <x:v>20</x:v>
      </x:c>
      <x:c r="J142" s="44"/>
      <x:c r="K142" s="44"/>
      <x:c r="L142" s="44"/>
      <x:c r="M142" s="44" t="n">
        <x:v>18</x:v>
      </x:c>
      <x:c r="N142" s="45" t="str">
        <x:f>IF(AND(J142&lt;&gt;"",L142&lt;&gt;0),J142/L142,"")</x:f>
      </x:c>
      <x:c r="O142" s="45" t="str">
        <x:f>IF(AND(K142&lt;&gt;"",L142&lt;&gt;0),K142/L142,"")</x:f>
      </x:c>
      <x:c r="P142" s="46" t="str">
        <x:f>IF(AND(K142&lt;&gt;"",K142&lt;&gt;0,L142&lt;&gt;""),L142/K142,"")</x:f>
      </x:c>
      <x:c r="Q142" s="46" t="str">
        <x:f>IF(AND(L142&lt;&gt;"",L142&lt;&gt;0,M142&lt;&gt;""),M142/L142,"")</x:f>
      </x:c>
      <x:c r="R142" s="45" t="str">
        <x:f>IF(N142&lt;&gt;"",N142,IF(O142&lt;&gt;"",O142,""))</x:f>
      </x:c>
      <x:c r="S142" s="2" t="str">
        <x:f>IF(N142&lt;&gt;"","志愿/合格",IF(O142&lt;&gt;"","受验/合格",""))</x:f>
      </x:c>
      <x:c r="T142" s="2" t="str">
        <x:v>官方</x:v>
      </x:c>
      <x:c r="U142" s="2" t="str">
        <x:v>高</x:v>
      </x:c>
      <x:c r="V142" s="27" t="str">
        <x:v>IST PLAZA 第21号</x:v>
      </x:c>
      <x:c r="W142" s="27" t="str">
        <x:v>PDF 73頁前後「入学・修了者数（令和7年度）」博士前期課程</x:v>
      </x:c>
      <x:c r="X142" s="27" t="str">
        <x:v>https://www.ist.osaka-u.ac.jp/files/overview/publication/publicationIstPlaza_No21.pdf</x:v>
      </x:c>
      <x:c r="Y142" s="27" t="str">
        <x:v>専攻単位。定員と年度中の入学者数。</x:v>
      </x:c>
      <x:c r="Z142" s="47" t="str">
        <x:v>志願者・受験者・合格者は年報表に掲載なし。10月入学英語コースを含む。</x:v>
      </x:c>
    </x:row>
    <x:row r="143" ht="38" customHeight="1">
      <x:c r="A143" s="2" t="str">
        <x:v>大阪大学</x:v>
      </x:c>
      <x:c r="B143" s="2" t="str">
        <x:v>理学研究科</x:v>
      </x:c>
      <x:c r="C143" s="2" t="str">
        <x:v>研究科合計</x:v>
      </x:c>
      <x:c r="D143" s="44" t="n">
        <x:v>2024</x:v>
      </x:c>
      <x:c r="E143" s="27" t="str">
        <x:v>4月入学</x:v>
      </x:c>
      <x:c r="F143" s="27" t="str">
        <x:v>博士前期課程・修士課程</x:v>
      </x:c>
      <x:c r="G143" s="27" t="str">
        <x:v>全类别合计</x:v>
      </x:c>
      <x:c r="H143" s="27" t="str">
        <x:v>研究科合计</x:v>
      </x:c>
      <x:c r="I143" s="44" t="n">
        <x:v>266</x:v>
      </x:c>
      <x:c r="J143" s="44" t="n">
        <x:v>466</x:v>
      </x:c>
      <x:c r="K143" s="44" t="n">
        <x:v>420</x:v>
      </x:c>
      <x:c r="L143" s="44" t="n">
        <x:v>345</x:v>
      </x:c>
      <x:c r="M143" s="44" t="n">
        <x:v>283</x:v>
      </x:c>
      <x:c r="N143" s="45" t="n">
        <x:f>IF(AND(J143&lt;&gt;"",L143&lt;&gt;0),J143/L143,"")</x:f>
        <x:v>1.3507246376811595</x:v>
      </x:c>
      <x:c r="O143" s="45" t="n">
        <x:f>IF(AND(K143&lt;&gt;"",L143&lt;&gt;0),K143/L143,"")</x:f>
        <x:v>1.2173913043478262</x:v>
      </x:c>
      <x:c r="P143" s="46" t="n">
        <x:f>IF(AND(K143&lt;&gt;"",K143&lt;&gt;0,L143&lt;&gt;""),L143/K143,"")</x:f>
        <x:v>0.8214285714285714</x:v>
      </x:c>
      <x:c r="Q143" s="46" t="n">
        <x:f>IF(AND(L143&lt;&gt;"",L143&lt;&gt;0,M143&lt;&gt;""),M143/L143,"")</x:f>
        <x:v>0.8202898550724638</x:v>
      </x:c>
      <x:c r="R143" s="45" t="n">
        <x:f>IF(N143&lt;&gt;"",N143,IF(O143&lt;&gt;"",O143,""))</x:f>
        <x:v>1.3507246376811595</x:v>
      </x:c>
      <x:c r="S143" s="2" t="str">
        <x:f>IF(N143&lt;&gt;"","志愿/合格",IF(O143&lt;&gt;"","受验/合格",""))</x:f>
        <x:v>志愿/合格</x:v>
      </x:c>
      <x:c r="T143" s="2" t="str">
        <x:v>官方</x:v>
      </x:c>
      <x:c r="U143" s="2" t="str">
        <x:v>高</x:v>
      </x:c>
      <x:c r="V143" s="27" t="str">
        <x:v>2024年度 大学院入学状況（2024年4月入学）</x:v>
      </x:c>
      <x:c r="W143" s="27" t="str">
        <x:v>PDF「大学院入学状況」該当研究科行</x:v>
      </x:c>
      <x:c r="X143" s="27" t="str">
        <x:v>https://www.osaka-u.ac.jp/++api++/ja/admissions/files/202404_daigakuin.pdf/@@download/file?expand=translations</x:v>
      </x:c>
      <x:c r="Y143" s="27" t="str">
        <x:v>研究科合計。個別専攻・講座・入試区分には配分不可。</x:v>
      </x:c>
      <x:c r="Z143" s="47" t="str">
        <x:v>プロジェクト内の専攻級データがない場合の難易度背景としてのみ使用。</x:v>
      </x:c>
    </x:row>
    <x:row r="144" ht="38" customHeight="1">
      <x:c r="A144" s="2" t="str">
        <x:v>大阪大学</x:v>
      </x:c>
      <x:c r="B144" s="2" t="str">
        <x:v>理学研究科</x:v>
      </x:c>
      <x:c r="C144" s="2" t="str">
        <x:v>物理学専攻</x:v>
      </x:c>
      <x:c r="D144" s="44" t="n">
        <x:v>2026</x:v>
      </x:c>
      <x:c r="E144" s="27" t="str">
        <x:v>4月入学</x:v>
      </x:c>
      <x:c r="F144" s="27" t="str">
        <x:v>博士前期課程</x:v>
      </x:c>
      <x:c r="G144" s="27" t="str">
        <x:v>全类别合计</x:v>
      </x:c>
      <x:c r="H144" s="27" t="str">
        <x:v>专攻/系</x:v>
      </x:c>
      <x:c r="I144" s="44" t="n">
        <x:v>68</x:v>
      </x:c>
      <x:c r="J144" s="44" t="n">
        <x:v>145</x:v>
      </x:c>
      <x:c r="K144" s="44"/>
      <x:c r="L144" s="44"/>
      <x:c r="M144" s="44" t="n">
        <x:v>74</x:v>
      </x:c>
      <x:c r="N144" s="45" t="str">
        <x:f>IF(AND(J144&lt;&gt;"",L144&lt;&gt;0),J144/L144,"")</x:f>
      </x:c>
      <x:c r="O144" s="45" t="str">
        <x:f>IF(AND(K144&lt;&gt;"",L144&lt;&gt;0),K144/L144,"")</x:f>
      </x:c>
      <x:c r="P144" s="46" t="str">
        <x:f>IF(AND(K144&lt;&gt;"",K144&lt;&gt;0,L144&lt;&gt;""),L144/K144,"")</x:f>
      </x:c>
      <x:c r="Q144" s="46" t="str">
        <x:f>IF(AND(L144&lt;&gt;"",L144&lt;&gt;0,M144&lt;&gt;""),M144/L144,"")</x:f>
      </x:c>
      <x:c r="R144" s="45" t="str">
        <x:f>IF(N144&lt;&gt;"",N144,IF(O144&lt;&gt;"",O144,""))</x:f>
      </x:c>
      <x:c r="S144" s="2" t="str">
        <x:f>IF(N144&lt;&gt;"","志愿/合格",IF(O144&lt;&gt;"","受验/合格",""))</x:f>
      </x:c>
      <x:c r="T144" s="2" t="str">
        <x:v>官方</x:v>
      </x:c>
      <x:c r="U144" s="2" t="str">
        <x:v>高</x:v>
      </x:c>
      <x:c r="V144" s="27" t="str">
        <x:v>入学者状況｜大阪大学大学院理学研究科</x:v>
      </x:c>
      <x:c r="W144" s="27" t="str">
        <x:v>Web表「2026年度（2026年4月入学）」物理学専攻・博士前期課程</x:v>
      </x:c>
      <x:c r="X144" s="27" t="str">
        <x:v>https://www.sci.osaka-u.ac.jp/ja/outline/basicdata/tbl-new_students/</x:v>
      </x:c>
      <x:c r="Y144" s="27" t="str">
        <x:v>専攻単位。Web表の入学定員・志願者・入学者。</x:v>
      </x:c>
      <x:c r="Z144" s="47" t="str">
        <x:v>受験者・合格者は表に掲載なし。</x:v>
      </x:c>
    </x:row>
    <x:row r="145" ht="38" customHeight="1">
      <x:c r="A145" s="2" t="str">
        <x:v>名古屋大学</x:v>
      </x:c>
      <x:c r="B145" s="2" t="str">
        <x:v>環境学研究科</x:v>
      </x:c>
      <x:c r="C145" s="2" t="str">
        <x:v>地球環境科学専攻</x:v>
      </x:c>
      <x:c r="D145" s="44" t="n">
        <x:v>2025</x:v>
      </x:c>
      <x:c r="E145" s="27" t="str">
        <x:v>第Ⅱ期（2025年2月）</x:v>
      </x:c>
      <x:c r="F145" s="27" t="str">
        <x:v>博士前期課程</x:v>
      </x:c>
      <x:c r="G145" s="27" t="str">
        <x:v>一般選抜</x:v>
      </x:c>
      <x:c r="H145" s="27" t="str">
        <x:v>专攻/系</x:v>
      </x:c>
      <x:c r="I145" s="44"/>
      <x:c r="J145" s="44" t="n">
        <x:v>4</x:v>
      </x:c>
      <x:c r="K145" s="44" t="n">
        <x:v>3</x:v>
      </x:c>
      <x:c r="L145" s="44" t="n">
        <x:v>3</x:v>
      </x:c>
      <x:c r="M145" s="44"/>
      <x:c r="N145" s="45" t="n">
        <x:f>IF(AND(J145&lt;&gt;"",L145&lt;&gt;0),J145/L145,"")</x:f>
        <x:v>1.3333333333333333</x:v>
      </x:c>
      <x:c r="O145" s="45" t="n">
        <x:f>IF(AND(K145&lt;&gt;"",L145&lt;&gt;0),K145/L145,"")</x:f>
        <x:v>1</x:v>
      </x:c>
      <x:c r="P145" s="46" t="n">
        <x:f>IF(AND(K145&lt;&gt;"",K145&lt;&gt;0,L145&lt;&gt;""),L145/K145,"")</x:f>
        <x:v>1</x:v>
      </x:c>
      <x:c r="Q145" s="46" t="str">
        <x:f>IF(AND(L145&lt;&gt;"",L145&lt;&gt;0,M145&lt;&gt;""),M145/L145,"")</x:f>
      </x:c>
      <x:c r="R145" s="45" t="n">
        <x:f>IF(N145&lt;&gt;"",N145,IF(O145&lt;&gt;"",O145,""))</x:f>
        <x:v>1.3333333333333333</x:v>
      </x:c>
      <x:c r="S145" s="2" t="str">
        <x:f>IF(N145&lt;&gt;"","志愿/合格",IF(O145&lt;&gt;"","受验/合格",""))</x:f>
        <x:v>志愿/合格</x:v>
      </x:c>
      <x:c r="T145" s="2" t="str">
        <x:v>官方</x:v>
      </x:c>
      <x:c r="U145" s="2" t="str">
        <x:v>高</x:v>
      </x:c>
      <x:c r="V145" s="27" t="str">
        <x:v>2025年度入学試験実施状況（第Ⅰ期・第Ⅱ期）</x:v>
      </x:c>
      <x:c r="W145" s="27" t="str">
        <x:v>PDF p.1「博士前期課程」／地球環境科学専攻・第Ⅱ期（2025年2月）・一般選抜</x:v>
      </x:c>
      <x:c r="X145" s="27" t="str">
        <x:v>https://www.env.nagoya-u.ac.jp/admission/file/status_2024-2025.pdf</x:v>
      </x:c>
      <x:c r="Y145" s="27" t="str">
        <x:v>地球環境科学専攻合计；官网未拆分地球惑星科学系与大气水圈科学系。</x:v>
      </x:c>
      <x:c r="Z145" s="47" t="str">
        <x:v>年度定员在年度合计行。</x:v>
      </x:c>
    </x:row>
    <x:row r="146" ht="38" customHeight="1">
      <x:c r="A146" s="2" t="str">
        <x:v>名古屋大学</x:v>
      </x:c>
      <x:c r="B146" s="2" t="str">
        <x:v>環境学研究科</x:v>
      </x:c>
      <x:c r="C146" s="2" t="str">
        <x:v>地球環境科学専攻</x:v>
      </x:c>
      <x:c r="D146" s="44" t="n">
        <x:v>2025</x:v>
      </x:c>
      <x:c r="E146" s="27" t="str">
        <x:v>第Ⅱ期（2025年2月）</x:v>
      </x:c>
      <x:c r="F146" s="27" t="str">
        <x:v>博士前期課程</x:v>
      </x:c>
      <x:c r="G146" s="27" t="str">
        <x:v>留学生特別選抜</x:v>
      </x:c>
      <x:c r="H146" s="27" t="str">
        <x:v>专攻/系</x:v>
      </x:c>
      <x:c r="I146" s="44"/>
      <x:c r="J146" s="44" t="n">
        <x:v>4</x:v>
      </x:c>
      <x:c r="K146" s="44" t="n">
        <x:v>3</x:v>
      </x:c>
      <x:c r="L146" s="44" t="n">
        <x:v>3</x:v>
      </x:c>
      <x:c r="M146" s="44"/>
      <x:c r="N146" s="45" t="n">
        <x:f>IF(AND(J146&lt;&gt;"",L146&lt;&gt;0),J146/L146,"")</x:f>
        <x:v>1.3333333333333333</x:v>
      </x:c>
      <x:c r="O146" s="45" t="n">
        <x:f>IF(AND(K146&lt;&gt;"",L146&lt;&gt;0),K146/L146,"")</x:f>
        <x:v>1</x:v>
      </x:c>
      <x:c r="P146" s="46" t="n">
        <x:f>IF(AND(K146&lt;&gt;"",K146&lt;&gt;0,L146&lt;&gt;""),L146/K146,"")</x:f>
        <x:v>1</x:v>
      </x:c>
      <x:c r="Q146" s="46" t="str">
        <x:f>IF(AND(L146&lt;&gt;"",L146&lt;&gt;0,M146&lt;&gt;""),M146/L146,"")</x:f>
      </x:c>
      <x:c r="R146" s="45" t="n">
        <x:f>IF(N146&lt;&gt;"",N146,IF(O146&lt;&gt;"",O146,""))</x:f>
        <x:v>1.3333333333333333</x:v>
      </x:c>
      <x:c r="S146" s="2" t="str">
        <x:f>IF(N146&lt;&gt;"","志愿/合格",IF(O146&lt;&gt;"","受验/合格",""))</x:f>
        <x:v>志愿/合格</x:v>
      </x:c>
      <x:c r="T146" s="2" t="str">
        <x:v>官方</x:v>
      </x:c>
      <x:c r="U146" s="2" t="str">
        <x:v>高</x:v>
      </x:c>
      <x:c r="V146" s="27" t="str">
        <x:v>2025年度入学試験実施状況（第Ⅰ期・第Ⅱ期）</x:v>
      </x:c>
      <x:c r="W146" s="27" t="str">
        <x:v>PDF p.1「博士前期課程」／地球環境科学専攻・第Ⅱ期（2025年2月）・留学生特別選抜</x:v>
      </x:c>
      <x:c r="X146" s="27" t="str">
        <x:v>https://www.env.nagoya-u.ac.jp/admission/file/status_2024-2025.pdf</x:v>
      </x:c>
      <x:c r="Y146" s="27" t="str">
        <x:v>地球環境科学専攻合计；官网未拆分地球惑星科学系与大气水圈科学系。</x:v>
      </x:c>
      <x:c r="Z146" s="47" t="str">
        <x:v>年度定员在年度合计行。</x:v>
      </x:c>
    </x:row>
    <x:row r="147" ht="38" customHeight="1">
      <x:c r="A147" s="2" t="str">
        <x:v>名古屋大学</x:v>
      </x:c>
      <x:c r="B147" s="2" t="str">
        <x:v>環境学研究科</x:v>
      </x:c>
      <x:c r="C147" s="2" t="str">
        <x:v>地球環境科学専攻</x:v>
      </x:c>
      <x:c r="D147" s="44" t="n">
        <x:v>2025</x:v>
      </x:c>
      <x:c r="E147" s="27" t="str">
        <x:v>第Ⅱ期（2025年2月）</x:v>
      </x:c>
      <x:c r="F147" s="27" t="str">
        <x:v>博士前期課程</x:v>
      </x:c>
      <x:c r="G147" s="27" t="str">
        <x:v>社会人特別選抜</x:v>
      </x:c>
      <x:c r="H147" s="27" t="str">
        <x:v>专攻/系</x:v>
      </x:c>
      <x:c r="I147" s="44"/>
      <x:c r="J147" s="44" t="n">
        <x:v>0</x:v>
      </x:c>
      <x:c r="K147" s="44" t="n">
        <x:v>0</x:v>
      </x:c>
      <x:c r="L147" s="44" t="n">
        <x:v>0</x:v>
      </x:c>
      <x:c r="M147" s="44"/>
      <x:c r="N147" s="45" t="str">
        <x:f>IF(AND(J147&lt;&gt;"",L147&lt;&gt;0),J147/L147,"")</x:f>
      </x:c>
      <x:c r="O147" s="45" t="str">
        <x:f>IF(AND(K147&lt;&gt;"",L147&lt;&gt;0),K147/L147,"")</x:f>
      </x:c>
      <x:c r="P147" s="46" t="str">
        <x:f>IF(AND(K147&lt;&gt;"",K147&lt;&gt;0,L147&lt;&gt;""),L147/K147,"")</x:f>
      </x:c>
      <x:c r="Q147" s="46" t="str">
        <x:f>IF(AND(L147&lt;&gt;"",L147&lt;&gt;0,M147&lt;&gt;""),M147/L147,"")</x:f>
      </x:c>
      <x:c r="R147" s="45" t="str">
        <x:f>IF(N147&lt;&gt;"",N147,IF(O147&lt;&gt;"",O147,""))</x:f>
      </x:c>
      <x:c r="S147" s="2" t="str">
        <x:f>IF(N147&lt;&gt;"","志愿/合格",IF(O147&lt;&gt;"","受验/合格",""))</x:f>
      </x:c>
      <x:c r="T147" s="2" t="str">
        <x:v>官方</x:v>
      </x:c>
      <x:c r="U147" s="2" t="str">
        <x:v>高</x:v>
      </x:c>
      <x:c r="V147" s="27" t="str">
        <x:v>2025年度入学試験実施状況（第Ⅰ期・第Ⅱ期）</x:v>
      </x:c>
      <x:c r="W147" s="27" t="str">
        <x:v>PDF p.1「博士前期課程」／地球環境科学専攻・第Ⅱ期（2025年2月）・社会人特別選抜</x:v>
      </x:c>
      <x:c r="X147" s="27" t="str">
        <x:v>https://www.env.nagoya-u.ac.jp/admission/file/status_2024-2025.pdf</x:v>
      </x:c>
      <x:c r="Y147" s="27" t="str">
        <x:v>地球環境科学専攻合计；官网未拆分地球惑星科学系与大气水圈科学系。</x:v>
      </x:c>
      <x:c r="Z147" s="47" t="str">
        <x:v>年度定员在年度合计行。</x:v>
      </x:c>
    </x:row>
    <x:row r="148" ht="38" customHeight="1">
      <x:c r="A148" s="2" t="str">
        <x:v>名古屋大学</x:v>
      </x:c>
      <x:c r="B148" s="2" t="str">
        <x:v>環境学研究科</x:v>
      </x:c>
      <x:c r="C148" s="2" t="str">
        <x:v>地球環境科学専攻</x:v>
      </x:c>
      <x:c r="D148" s="44" t="n">
        <x:v>2025</x:v>
      </x:c>
      <x:c r="E148" s="27" t="str">
        <x:v>第Ⅰ期・第Ⅱ期合計</x:v>
      </x:c>
      <x:c r="F148" s="27" t="str">
        <x:v>博士前期課程</x:v>
      </x:c>
      <x:c r="G148" s="27" t="str">
        <x:v>全選抜区分合計</x:v>
      </x:c>
      <x:c r="H148" s="27" t="str">
        <x:v>专攻/系</x:v>
      </x:c>
      <x:c r="I148" s="44" t="n">
        <x:v>53</x:v>
      </x:c>
      <x:c r="J148" s="44" t="n">
        <x:v>53</x:v>
      </x:c>
      <x:c r="K148" s="44" t="n">
        <x:v>47</x:v>
      </x:c>
      <x:c r="L148" s="44" t="n">
        <x:v>42</x:v>
      </x:c>
      <x:c r="M148" s="44"/>
      <x:c r="N148" s="45" t="n">
        <x:f>IF(AND(J148&lt;&gt;"",L148&lt;&gt;0),J148/L148,"")</x:f>
        <x:v>1.2619047619047619</x:v>
      </x:c>
      <x:c r="O148" s="45" t="n">
        <x:f>IF(AND(K148&lt;&gt;"",L148&lt;&gt;0),K148/L148,"")</x:f>
        <x:v>1.119047619047619</x:v>
      </x:c>
      <x:c r="P148" s="46" t="n">
        <x:f>IF(AND(K148&lt;&gt;"",K148&lt;&gt;0,L148&lt;&gt;""),L148/K148,"")</x:f>
        <x:v>0.8936170212765957</x:v>
      </x:c>
      <x:c r="Q148" s="46" t="str">
        <x:f>IF(AND(L148&lt;&gt;"",L148&lt;&gt;0,M148&lt;&gt;""),M148/L148,"")</x:f>
      </x:c>
      <x:c r="R148" s="45" t="n">
        <x:f>IF(N148&lt;&gt;"",N148,IF(O148&lt;&gt;"",O148,""))</x:f>
        <x:v>1.2619047619047619</x:v>
      </x:c>
      <x:c r="S148" s="2" t="str">
        <x:f>IF(N148&lt;&gt;"","志愿/合格",IF(O148&lt;&gt;"","受验/合格",""))</x:f>
        <x:v>志愿/合格</x:v>
      </x:c>
      <x:c r="T148" s="2" t="str">
        <x:v>官方</x:v>
      </x:c>
      <x:c r="U148" s="2" t="str">
        <x:v>高</x:v>
      </x:c>
      <x:c r="V148" s="27" t="str">
        <x:v>2025年度入学試験実施状況（第Ⅰ期・第Ⅱ期）</x:v>
      </x:c>
      <x:c r="W148" s="27" t="str">
        <x:v>PDF p.1「博士前期課程」／地球環境科学専攻行（各区分求和）</x:v>
      </x:c>
      <x:c r="X148" s="27" t="str">
        <x:v>https://www.env.nagoya-u.ac.jp/admission/file/status_2024-2025.pdf</x:v>
      </x:c>
      <x:c r="Y148" s="27" t="str">
        <x:v>地球環境科学専攻合计；官网未拆分地球惑星科学系与大气水圈科学系。</x:v>
      </x:c>
      <x:c r="Z148" s="47" t="str">
        <x:v>由同一官方表中非空区分求和；与期别/类别行重复，汇总时不可重复相加。入学者数未掲載。</x:v>
      </x:c>
    </x:row>
    <x:row r="149" ht="38" customHeight="1">
      <x:c r="A149" s="2" t="str">
        <x:v>名古屋大学</x:v>
      </x:c>
      <x:c r="B149" s="2" t="str">
        <x:v>環境学研究科</x:v>
      </x:c>
      <x:c r="C149" s="2" t="str">
        <x:v>地球環境科学専攻</x:v>
      </x:c>
      <x:c r="D149" s="44" t="n">
        <x:v>2025</x:v>
      </x:c>
      <x:c r="E149" s="27" t="str">
        <x:v>第Ⅰ期（2024年8月）</x:v>
      </x:c>
      <x:c r="F149" s="27" t="str">
        <x:v>博士前期課程</x:v>
      </x:c>
      <x:c r="G149" s="27" t="str">
        <x:v>一般選抜</x:v>
      </x:c>
      <x:c r="H149" s="27" t="str">
        <x:v>专攻/系</x:v>
      </x:c>
      <x:c r="I149" s="44"/>
      <x:c r="J149" s="44" t="n">
        <x:v>44</x:v>
      </x:c>
      <x:c r="K149" s="44" t="n">
        <x:v>40</x:v>
      </x:c>
      <x:c r="L149" s="44" t="n">
        <x:v>35</x:v>
      </x:c>
      <x:c r="M149" s="44"/>
      <x:c r="N149" s="45" t="n">
        <x:f>IF(AND(J149&lt;&gt;"",L149&lt;&gt;0),J149/L149,"")</x:f>
        <x:v>1.2571428571428571</x:v>
      </x:c>
      <x:c r="O149" s="45" t="n">
        <x:f>IF(AND(K149&lt;&gt;"",L149&lt;&gt;0),K149/L149,"")</x:f>
        <x:v>1.1428571428571428</x:v>
      </x:c>
      <x:c r="P149" s="46" t="n">
        <x:f>IF(AND(K149&lt;&gt;"",K149&lt;&gt;0,L149&lt;&gt;""),L149/K149,"")</x:f>
        <x:v>0.875</x:v>
      </x:c>
      <x:c r="Q149" s="46" t="str">
        <x:f>IF(AND(L149&lt;&gt;"",L149&lt;&gt;0,M149&lt;&gt;""),M149/L149,"")</x:f>
      </x:c>
      <x:c r="R149" s="45" t="n">
        <x:f>IF(N149&lt;&gt;"",N149,IF(O149&lt;&gt;"",O149,""))</x:f>
        <x:v>1.2571428571428571</x:v>
      </x:c>
      <x:c r="S149" s="2" t="str">
        <x:f>IF(N149&lt;&gt;"","志愿/合格",IF(O149&lt;&gt;"","受验/合格",""))</x:f>
        <x:v>志愿/合格</x:v>
      </x:c>
      <x:c r="T149" s="2" t="str">
        <x:v>官方</x:v>
      </x:c>
      <x:c r="U149" s="2" t="str">
        <x:v>高</x:v>
      </x:c>
      <x:c r="V149" s="27" t="str">
        <x:v>2025年度入学試験実施状況（第Ⅰ期・第Ⅱ期）</x:v>
      </x:c>
      <x:c r="W149" s="27" t="str">
        <x:v>PDF p.1「博士前期課程」／地球環境科学専攻・第Ⅰ期（2024年8月）・一般選抜</x:v>
      </x:c>
      <x:c r="X149" s="27" t="str">
        <x:v>https://www.env.nagoya-u.ac.jp/admission/file/status_2024-2025.pdf</x:v>
      </x:c>
      <x:c r="Y149" s="27" t="str">
        <x:v>地球環境科学専攻合计；官网未拆分地球惑星科学系与大气水圈科学系。</x:v>
      </x:c>
      <x:c r="Z149" s="47" t="str">
        <x:v>年度定员在年度合计行。</x:v>
      </x:c>
    </x:row>
    <x:row r="150" ht="38" customHeight="1">
      <x:c r="A150" s="2" t="str">
        <x:v>名古屋大学</x:v>
      </x:c>
      <x:c r="B150" s="2" t="str">
        <x:v>環境学研究科</x:v>
      </x:c>
      <x:c r="C150" s="2" t="str">
        <x:v>地球環境科学専攻</x:v>
      </x:c>
      <x:c r="D150" s="44" t="n">
        <x:v>2025</x:v>
      </x:c>
      <x:c r="E150" s="27" t="str">
        <x:v>第Ⅰ期（2024年8月）</x:v>
      </x:c>
      <x:c r="F150" s="27" t="str">
        <x:v>博士前期課程</x:v>
      </x:c>
      <x:c r="G150" s="27" t="str">
        <x:v>留学生特別選抜</x:v>
      </x:c>
      <x:c r="H150" s="27" t="str">
        <x:v>专攻/系</x:v>
      </x:c>
      <x:c r="I150" s="44"/>
      <x:c r="J150" s="44" t="n">
        <x:v>1</x:v>
      </x:c>
      <x:c r="K150" s="44" t="n">
        <x:v>1</x:v>
      </x:c>
      <x:c r="L150" s="44" t="n">
        <x:v>1</x:v>
      </x:c>
      <x:c r="M150" s="44"/>
      <x:c r="N150" s="45" t="n">
        <x:f>IF(AND(J150&lt;&gt;"",L150&lt;&gt;0),J150/L150,"")</x:f>
        <x:v>1</x:v>
      </x:c>
      <x:c r="O150" s="45" t="n">
        <x:f>IF(AND(K150&lt;&gt;"",L150&lt;&gt;0),K150/L150,"")</x:f>
        <x:v>1</x:v>
      </x:c>
      <x:c r="P150" s="46" t="n">
        <x:f>IF(AND(K150&lt;&gt;"",K150&lt;&gt;0,L150&lt;&gt;""),L150/K150,"")</x:f>
        <x:v>1</x:v>
      </x:c>
      <x:c r="Q150" s="46" t="str">
        <x:f>IF(AND(L150&lt;&gt;"",L150&lt;&gt;0,M150&lt;&gt;""),M150/L150,"")</x:f>
      </x:c>
      <x:c r="R150" s="45" t="n">
        <x:f>IF(N150&lt;&gt;"",N150,IF(O150&lt;&gt;"",O150,""))</x:f>
        <x:v>1</x:v>
      </x:c>
      <x:c r="S150" s="2" t="str">
        <x:f>IF(N150&lt;&gt;"","志愿/合格",IF(O150&lt;&gt;"","受验/合格",""))</x:f>
        <x:v>志愿/合格</x:v>
      </x:c>
      <x:c r="T150" s="2" t="str">
        <x:v>官方</x:v>
      </x:c>
      <x:c r="U150" s="2" t="str">
        <x:v>高</x:v>
      </x:c>
      <x:c r="V150" s="27" t="str">
        <x:v>2025年度入学試験実施状況（第Ⅰ期・第Ⅱ期）</x:v>
      </x:c>
      <x:c r="W150" s="27" t="str">
        <x:v>PDF p.1「博士前期課程」／地球環境科学専攻・第Ⅰ期（2024年8月）・留学生特別選抜</x:v>
      </x:c>
      <x:c r="X150" s="27" t="str">
        <x:v>https://www.env.nagoya-u.ac.jp/admission/file/status_2024-2025.pdf</x:v>
      </x:c>
      <x:c r="Y150" s="27" t="str">
        <x:v>地球環境科学専攻合计；官网未拆分地球惑星科学系与大气水圈科学系。</x:v>
      </x:c>
      <x:c r="Z150" s="47" t="str">
        <x:v>年度定员在年度合计行。</x:v>
      </x:c>
    </x:row>
    <x:row r="151" ht="38" customHeight="1">
      <x:c r="A151" s="2" t="str">
        <x:v>名古屋大学</x:v>
      </x:c>
      <x:c r="B151" s="2" t="str">
        <x:v>環境学研究科</x:v>
      </x:c>
      <x:c r="C151" s="2" t="str">
        <x:v>地球環境科学専攻</x:v>
      </x:c>
      <x:c r="D151" s="44" t="n">
        <x:v>2025</x:v>
      </x:c>
      <x:c r="E151" s="27" t="str">
        <x:v>第Ⅰ期（2024年8月）</x:v>
      </x:c>
      <x:c r="F151" s="27" t="str">
        <x:v>博士前期課程</x:v>
      </x:c>
      <x:c r="G151" s="27" t="str">
        <x:v>社会人特別選抜</x:v>
      </x:c>
      <x:c r="H151" s="27" t="str">
        <x:v>专攻/系</x:v>
      </x:c>
      <x:c r="I151" s="44"/>
      <x:c r="J151" s="44"/>
      <x:c r="K151" s="44"/>
      <x:c r="L151" s="44"/>
      <x:c r="M151" s="44"/>
      <x:c r="N151" s="45" t="str">
        <x:f>IF(AND(J151&lt;&gt;"",L151&lt;&gt;0),J151/L151,"")</x:f>
      </x:c>
      <x:c r="O151" s="45" t="str">
        <x:f>IF(AND(K151&lt;&gt;"",L151&lt;&gt;0),K151/L151,"")</x:f>
      </x:c>
      <x:c r="P151" s="46" t="str">
        <x:f>IF(AND(K151&lt;&gt;"",K151&lt;&gt;0,L151&lt;&gt;""),L151/K151,"")</x:f>
      </x:c>
      <x:c r="Q151" s="46" t="str">
        <x:f>IF(AND(L151&lt;&gt;"",L151&lt;&gt;0,M151&lt;&gt;""),M151/L151,"")</x:f>
      </x:c>
      <x:c r="R151" s="45" t="str">
        <x:f>IF(N151&lt;&gt;"",N151,IF(O151&lt;&gt;"",O151,""))</x:f>
      </x:c>
      <x:c r="S151" s="2" t="str">
        <x:f>IF(N151&lt;&gt;"","志愿/合格",IF(O151&lt;&gt;"","受验/合格",""))</x:f>
      </x:c>
      <x:c r="T151" s="2" t="str">
        <x:v>官方</x:v>
      </x:c>
      <x:c r="U151" s="2" t="str">
        <x:v>高</x:v>
      </x:c>
      <x:c r="V151" s="27" t="str">
        <x:v>2025年度入学試験実施状況（第Ⅰ期・第Ⅱ期）</x:v>
      </x:c>
      <x:c r="W151" s="27" t="str">
        <x:v>PDF p.1「博士前期課程」／地球環境科学専攻・第Ⅰ期（2024年8月）・社会人特別選抜</x:v>
      </x:c>
      <x:c r="X151" s="27" t="str">
        <x:v>https://www.env.nagoya-u.ac.jp/admission/file/status_2024-2025.pdf</x:v>
      </x:c>
      <x:c r="Y151" s="27" t="str">
        <x:v>地球環境科学専攻合计；官网未拆分地球惑星科学系与大气水圈科学系。</x:v>
      </x:c>
      <x:c r="Z151" s="47" t="str">
        <x:v>原表空栏，未将空栏解释为0；年度定员在年度合计行。</x:v>
      </x:c>
    </x:row>
    <x:row r="152" ht="38" customHeight="1">
      <x:c r="A152" s="2" t="str">
        <x:v>名古屋大学</x:v>
      </x:c>
      <x:c r="B152" s="2" t="str">
        <x:v>環境学研究科</x:v>
      </x:c>
      <x:c r="C152" s="2" t="str">
        <x:v>地球環境科学専攻</x:v>
      </x:c>
      <x:c r="D152" s="44" t="n">
        <x:v>2026</x:v>
      </x:c>
      <x:c r="E152" s="27" t="str">
        <x:v>第Ⅱ期（2026年2月）</x:v>
      </x:c>
      <x:c r="F152" s="27" t="str">
        <x:v>博士前期課程</x:v>
      </x:c>
      <x:c r="G152" s="27" t="str">
        <x:v>一般選抜</x:v>
      </x:c>
      <x:c r="H152" s="27" t="str">
        <x:v>专攻/系</x:v>
      </x:c>
      <x:c r="I152" s="44"/>
      <x:c r="J152" s="44" t="n">
        <x:v>6</x:v>
      </x:c>
      <x:c r="K152" s="44" t="n">
        <x:v>6</x:v>
      </x:c>
      <x:c r="L152" s="44" t="n">
        <x:v>6</x:v>
      </x:c>
      <x:c r="M152" s="44"/>
      <x:c r="N152" s="45" t="n">
        <x:f>IF(AND(J152&lt;&gt;"",L152&lt;&gt;0),J152/L152,"")</x:f>
        <x:v>1</x:v>
      </x:c>
      <x:c r="O152" s="45" t="n">
        <x:f>IF(AND(K152&lt;&gt;"",L152&lt;&gt;0),K152/L152,"")</x:f>
        <x:v>1</x:v>
      </x:c>
      <x:c r="P152" s="46" t="n">
        <x:f>IF(AND(K152&lt;&gt;"",K152&lt;&gt;0,L152&lt;&gt;""),L152/K152,"")</x:f>
        <x:v>1</x:v>
      </x:c>
      <x:c r="Q152" s="46" t="str">
        <x:f>IF(AND(L152&lt;&gt;"",L152&lt;&gt;0,M152&lt;&gt;""),M152/L152,"")</x:f>
      </x:c>
      <x:c r="R152" s="45" t="n">
        <x:f>IF(N152&lt;&gt;"",N152,IF(O152&lt;&gt;"",O152,""))</x:f>
        <x:v>1</x:v>
      </x:c>
      <x:c r="S152" s="2" t="str">
        <x:f>IF(N152&lt;&gt;"","志愿/合格",IF(O152&lt;&gt;"","受验/合格",""))</x:f>
        <x:v>志愿/合格</x:v>
      </x:c>
      <x:c r="T152" s="2" t="str">
        <x:v>官方</x:v>
      </x:c>
      <x:c r="U152" s="2" t="str">
        <x:v>高</x:v>
      </x:c>
      <x:c r="V152" s="27" t="str">
        <x:v>2026年度入学試験実施状況（第Ⅰ期・第Ⅱ期）、2025年度秋入学試験実施状況</x:v>
      </x:c>
      <x:c r="W152" s="27" t="str">
        <x:v>PDF p.1「博士前期課程」／地球環境科学専攻・第Ⅱ期（2026年2月）・一般選抜</x:v>
      </x:c>
      <x:c r="X152" s="27" t="str">
        <x:v>https://www.env.nagoya-u.ac.jp/admission/file/status_2025-2026.pdf</x:v>
      </x:c>
      <x:c r="Y152" s="27" t="str">
        <x:v>地球環境科学専攻合计；官网未拆分地球惑星科学系与大气水圈科学系。</x:v>
      </x:c>
      <x:c r="Z152" s="47" t="str">
        <x:v>年度定员在年度合计行。</x:v>
      </x:c>
    </x:row>
    <x:row r="153" ht="38" customHeight="1">
      <x:c r="A153" s="2" t="str">
        <x:v>名古屋大学</x:v>
      </x:c>
      <x:c r="B153" s="2" t="str">
        <x:v>環境学研究科</x:v>
      </x:c>
      <x:c r="C153" s="2" t="str">
        <x:v>地球環境科学専攻</x:v>
      </x:c>
      <x:c r="D153" s="44" t="n">
        <x:v>2026</x:v>
      </x:c>
      <x:c r="E153" s="27" t="str">
        <x:v>第Ⅱ期（2026年2月）</x:v>
      </x:c>
      <x:c r="F153" s="27" t="str">
        <x:v>博士前期課程</x:v>
      </x:c>
      <x:c r="G153" s="27" t="str">
        <x:v>留学生特別選抜</x:v>
      </x:c>
      <x:c r="H153" s="27" t="str">
        <x:v>专攻/系</x:v>
      </x:c>
      <x:c r="I153" s="44"/>
      <x:c r="J153" s="44" t="n">
        <x:v>2</x:v>
      </x:c>
      <x:c r="K153" s="44" t="n">
        <x:v>2</x:v>
      </x:c>
      <x:c r="L153" s="44" t="n">
        <x:v>2</x:v>
      </x:c>
      <x:c r="M153" s="44"/>
      <x:c r="N153" s="45" t="n">
        <x:f>IF(AND(J153&lt;&gt;"",L153&lt;&gt;0),J153/L153,"")</x:f>
        <x:v>1</x:v>
      </x:c>
      <x:c r="O153" s="45" t="n">
        <x:f>IF(AND(K153&lt;&gt;"",L153&lt;&gt;0),K153/L153,"")</x:f>
        <x:v>1</x:v>
      </x:c>
      <x:c r="P153" s="46" t="n">
        <x:f>IF(AND(K153&lt;&gt;"",K153&lt;&gt;0,L153&lt;&gt;""),L153/K153,"")</x:f>
        <x:v>1</x:v>
      </x:c>
      <x:c r="Q153" s="46" t="str">
        <x:f>IF(AND(L153&lt;&gt;"",L153&lt;&gt;0,M153&lt;&gt;""),M153/L153,"")</x:f>
      </x:c>
      <x:c r="R153" s="45" t="n">
        <x:f>IF(N153&lt;&gt;"",N153,IF(O153&lt;&gt;"",O153,""))</x:f>
        <x:v>1</x:v>
      </x:c>
      <x:c r="S153" s="2" t="str">
        <x:f>IF(N153&lt;&gt;"","志愿/合格",IF(O153&lt;&gt;"","受验/合格",""))</x:f>
        <x:v>志愿/合格</x:v>
      </x:c>
      <x:c r="T153" s="2" t="str">
        <x:v>官方</x:v>
      </x:c>
      <x:c r="U153" s="2" t="str">
        <x:v>高</x:v>
      </x:c>
      <x:c r="V153" s="27" t="str">
        <x:v>2026年度入学試験実施状況（第Ⅰ期・第Ⅱ期）、2025年度秋入学試験実施状況</x:v>
      </x:c>
      <x:c r="W153" s="27" t="str">
        <x:v>PDF p.1「博士前期課程」／地球環境科学専攻・第Ⅱ期（2026年2月）・留学生特別選抜</x:v>
      </x:c>
      <x:c r="X153" s="27" t="str">
        <x:v>https://www.env.nagoya-u.ac.jp/admission/file/status_2025-2026.pdf</x:v>
      </x:c>
      <x:c r="Y153" s="27" t="str">
        <x:v>地球環境科学専攻合计；官网未拆分地球惑星科学系与大气水圈科学系。</x:v>
      </x:c>
      <x:c r="Z153" s="47" t="str">
        <x:v>年度定员在年度合计行。</x:v>
      </x:c>
    </x:row>
    <x:row r="154" ht="38" customHeight="1">
      <x:c r="A154" s="2" t="str">
        <x:v>名古屋大学</x:v>
      </x:c>
      <x:c r="B154" s="2" t="str">
        <x:v>環境学研究科</x:v>
      </x:c>
      <x:c r="C154" s="2" t="str">
        <x:v>地球環境科学専攻</x:v>
      </x:c>
      <x:c r="D154" s="44" t="n">
        <x:v>2026</x:v>
      </x:c>
      <x:c r="E154" s="27" t="str">
        <x:v>第Ⅱ期（2026年2月）</x:v>
      </x:c>
      <x:c r="F154" s="27" t="str">
        <x:v>博士前期課程</x:v>
      </x:c>
      <x:c r="G154" s="27" t="str">
        <x:v>社会人特別選抜</x:v>
      </x:c>
      <x:c r="H154" s="27" t="str">
        <x:v>专攻/系</x:v>
      </x:c>
      <x:c r="I154" s="44"/>
      <x:c r="J154" s="44"/>
      <x:c r="K154" s="44"/>
      <x:c r="L154" s="44"/>
      <x:c r="M154" s="44"/>
      <x:c r="N154" s="45" t="str">
        <x:f>IF(AND(J154&lt;&gt;"",L154&lt;&gt;0),J154/L154,"")</x:f>
      </x:c>
      <x:c r="O154" s="45" t="str">
        <x:f>IF(AND(K154&lt;&gt;"",L154&lt;&gt;0),K154/L154,"")</x:f>
      </x:c>
      <x:c r="P154" s="46" t="str">
        <x:f>IF(AND(K154&lt;&gt;"",K154&lt;&gt;0,L154&lt;&gt;""),L154/K154,"")</x:f>
      </x:c>
      <x:c r="Q154" s="46" t="str">
        <x:f>IF(AND(L154&lt;&gt;"",L154&lt;&gt;0,M154&lt;&gt;""),M154/L154,"")</x:f>
      </x:c>
      <x:c r="R154" s="45" t="str">
        <x:f>IF(N154&lt;&gt;"",N154,IF(O154&lt;&gt;"",O154,""))</x:f>
      </x:c>
      <x:c r="S154" s="2" t="str">
        <x:f>IF(N154&lt;&gt;"","志愿/合格",IF(O154&lt;&gt;"","受验/合格",""))</x:f>
      </x:c>
      <x:c r="T154" s="2" t="str">
        <x:v>官方</x:v>
      </x:c>
      <x:c r="U154" s="2" t="str">
        <x:v>高</x:v>
      </x:c>
      <x:c r="V154" s="27" t="str">
        <x:v>2026年度入学試験実施状況（第Ⅰ期・第Ⅱ期）、2025年度秋入学試験実施状況</x:v>
      </x:c>
      <x:c r="W154" s="27" t="str">
        <x:v>PDF p.1「博士前期課程」／地球環境科学専攻・第Ⅱ期（2026年2月）・社会人特別選抜</x:v>
      </x:c>
      <x:c r="X154" s="27" t="str">
        <x:v>https://www.env.nagoya-u.ac.jp/admission/file/status_2025-2026.pdf</x:v>
      </x:c>
      <x:c r="Y154" s="27" t="str">
        <x:v>地球環境科学専攻合计；官网未拆分地球惑星科学系与大气水圈科学系。</x:v>
      </x:c>
      <x:c r="Z154" s="47" t="str">
        <x:v>原表空栏，未将空栏解释为0；年度定员在年度合计行。</x:v>
      </x:c>
    </x:row>
    <x:row r="155" ht="38" customHeight="1">
      <x:c r="A155" s="2" t="str">
        <x:v>名古屋大学</x:v>
      </x:c>
      <x:c r="B155" s="2" t="str">
        <x:v>環境学研究科</x:v>
      </x:c>
      <x:c r="C155" s="2" t="str">
        <x:v>地球環境科学専攻</x:v>
      </x:c>
      <x:c r="D155" s="44" t="n">
        <x:v>2026</x:v>
      </x:c>
      <x:c r="E155" s="27" t="str">
        <x:v>第Ⅰ期・第Ⅱ期合計</x:v>
      </x:c>
      <x:c r="F155" s="27" t="str">
        <x:v>博士前期課程</x:v>
      </x:c>
      <x:c r="G155" s="27" t="str">
        <x:v>全選抜区分合計</x:v>
      </x:c>
      <x:c r="H155" s="27" t="str">
        <x:v>专攻/系</x:v>
      </x:c>
      <x:c r="I155" s="44" t="n">
        <x:v>53</x:v>
      </x:c>
      <x:c r="J155" s="44" t="n">
        <x:v>72</x:v>
      </x:c>
      <x:c r="K155" s="44" t="n">
        <x:v>67</x:v>
      </x:c>
      <x:c r="L155" s="44" t="n">
        <x:v>65</x:v>
      </x:c>
      <x:c r="M155" s="44"/>
      <x:c r="N155" s="45" t="n">
        <x:f>IF(AND(J155&lt;&gt;"",L155&lt;&gt;0),J155/L155,"")</x:f>
        <x:v>1.1076923076923078</x:v>
      </x:c>
      <x:c r="O155" s="45" t="n">
        <x:f>IF(AND(K155&lt;&gt;"",L155&lt;&gt;0),K155/L155,"")</x:f>
        <x:v>1.0307692307692307</x:v>
      </x:c>
      <x:c r="P155" s="46" t="n">
        <x:f>IF(AND(K155&lt;&gt;"",K155&lt;&gt;0,L155&lt;&gt;""),L155/K155,"")</x:f>
        <x:v>0.9701492537313433</x:v>
      </x:c>
      <x:c r="Q155" s="46" t="str">
        <x:f>IF(AND(L155&lt;&gt;"",L155&lt;&gt;0,M155&lt;&gt;""),M155/L155,"")</x:f>
      </x:c>
      <x:c r="R155" s="45" t="n">
        <x:f>IF(N155&lt;&gt;"",N155,IF(O155&lt;&gt;"",O155,""))</x:f>
        <x:v>1.1076923076923078</x:v>
      </x:c>
      <x:c r="S155" s="2" t="str">
        <x:f>IF(N155&lt;&gt;"","志愿/合格",IF(O155&lt;&gt;"","受验/合格",""))</x:f>
        <x:v>志愿/合格</x:v>
      </x:c>
      <x:c r="T155" s="2" t="str">
        <x:v>官方</x:v>
      </x:c>
      <x:c r="U155" s="2" t="str">
        <x:v>高</x:v>
      </x:c>
      <x:c r="V155" s="27" t="str">
        <x:v>2026年度入学試験実施状況（第Ⅰ期・第Ⅱ期）、2025年度秋入学試験実施状況</x:v>
      </x:c>
      <x:c r="W155" s="27" t="str">
        <x:v>PDF p.1「博士前期課程」／地球環境科学専攻行（各区分求和）</x:v>
      </x:c>
      <x:c r="X155" s="27" t="str">
        <x:v>https://www.env.nagoya-u.ac.jp/admission/file/status_2025-2026.pdf</x:v>
      </x:c>
      <x:c r="Y155" s="27" t="str">
        <x:v>地球環境科学専攻合计；官网未拆分地球惑星科学系与大气水圈科学系。</x:v>
      </x:c>
      <x:c r="Z155" s="47" t="str">
        <x:v>由同一官方表中非空区分求和；与期别/类别行重复，汇总时不可重复相加。入学者数未掲載。</x:v>
      </x:c>
    </x:row>
    <x:row r="156" ht="38" customHeight="1">
      <x:c r="A156" s="2" t="str">
        <x:v>名古屋大学</x:v>
      </x:c>
      <x:c r="B156" s="2" t="str">
        <x:v>環境学研究科</x:v>
      </x:c>
      <x:c r="C156" s="2" t="str">
        <x:v>地球環境科学専攻</x:v>
      </x:c>
      <x:c r="D156" s="44" t="n">
        <x:v>2026</x:v>
      </x:c>
      <x:c r="E156" s="27" t="str">
        <x:v>第Ⅰ期（2025年8月）</x:v>
      </x:c>
      <x:c r="F156" s="27" t="str">
        <x:v>博士前期課程</x:v>
      </x:c>
      <x:c r="G156" s="27" t="str">
        <x:v>一般選抜</x:v>
      </x:c>
      <x:c r="H156" s="27" t="str">
        <x:v>专攻/系</x:v>
      </x:c>
      <x:c r="I156" s="44"/>
      <x:c r="J156" s="44" t="n">
        <x:v>56</x:v>
      </x:c>
      <x:c r="K156" s="44" t="n">
        <x:v>53</x:v>
      </x:c>
      <x:c r="L156" s="44" t="n">
        <x:v>51</x:v>
      </x:c>
      <x:c r="M156" s="44"/>
      <x:c r="N156" s="45" t="n">
        <x:f>IF(AND(J156&lt;&gt;"",L156&lt;&gt;0),J156/L156,"")</x:f>
        <x:v>1.0980392156862746</x:v>
      </x:c>
      <x:c r="O156" s="45" t="n">
        <x:f>IF(AND(K156&lt;&gt;"",L156&lt;&gt;0),K156/L156,"")</x:f>
        <x:v>1.0392156862745099</x:v>
      </x:c>
      <x:c r="P156" s="46" t="n">
        <x:f>IF(AND(K156&lt;&gt;"",K156&lt;&gt;0,L156&lt;&gt;""),L156/K156,"")</x:f>
        <x:v>0.9622641509433962</x:v>
      </x:c>
      <x:c r="Q156" s="46" t="str">
        <x:f>IF(AND(L156&lt;&gt;"",L156&lt;&gt;0,M156&lt;&gt;""),M156/L156,"")</x:f>
      </x:c>
      <x:c r="R156" s="45" t="n">
        <x:f>IF(N156&lt;&gt;"",N156,IF(O156&lt;&gt;"",O156,""))</x:f>
        <x:v>1.0980392156862746</x:v>
      </x:c>
      <x:c r="S156" s="2" t="str">
        <x:f>IF(N156&lt;&gt;"","志愿/合格",IF(O156&lt;&gt;"","受验/合格",""))</x:f>
        <x:v>志愿/合格</x:v>
      </x:c>
      <x:c r="T156" s="2" t="str">
        <x:v>官方</x:v>
      </x:c>
      <x:c r="U156" s="2" t="str">
        <x:v>高</x:v>
      </x:c>
      <x:c r="V156" s="27" t="str">
        <x:v>2026年度入学試験実施状況（第Ⅰ期・第Ⅱ期）、2025年度秋入学試験実施状況</x:v>
      </x:c>
      <x:c r="W156" s="27" t="str">
        <x:v>PDF p.1「博士前期課程」／地球環境科学専攻・第Ⅰ期（2025年8月）・一般選抜</x:v>
      </x:c>
      <x:c r="X156" s="27" t="str">
        <x:v>https://www.env.nagoya-u.ac.jp/admission/file/status_2025-2026.pdf</x:v>
      </x:c>
      <x:c r="Y156" s="27" t="str">
        <x:v>地球環境科学専攻合计；官网未拆分地球惑星科学系与大气水圈科学系。</x:v>
      </x:c>
      <x:c r="Z156" s="47" t="str">
        <x:v>年度定员在年度合计行。</x:v>
      </x:c>
    </x:row>
    <x:row r="157" ht="38" customHeight="1">
      <x:c r="A157" s="2" t="str">
        <x:v>名古屋大学</x:v>
      </x:c>
      <x:c r="B157" s="2" t="str">
        <x:v>環境学研究科</x:v>
      </x:c>
      <x:c r="C157" s="2" t="str">
        <x:v>地球環境科学専攻</x:v>
      </x:c>
      <x:c r="D157" s="44" t="n">
        <x:v>2026</x:v>
      </x:c>
      <x:c r="E157" s="27" t="str">
        <x:v>第Ⅰ期（2025年8月）</x:v>
      </x:c>
      <x:c r="F157" s="27" t="str">
        <x:v>博士前期課程</x:v>
      </x:c>
      <x:c r="G157" s="27" t="str">
        <x:v>留学生特別選抜</x:v>
      </x:c>
      <x:c r="H157" s="27" t="str">
        <x:v>专攻/系</x:v>
      </x:c>
      <x:c r="I157" s="44"/>
      <x:c r="J157" s="44" t="n">
        <x:v>0</x:v>
      </x:c>
      <x:c r="K157" s="44" t="n">
        <x:v>0</x:v>
      </x:c>
      <x:c r="L157" s="44" t="n">
        <x:v>0</x:v>
      </x:c>
      <x:c r="M157" s="44"/>
      <x:c r="N157" s="45" t="str">
        <x:f>IF(AND(J157&lt;&gt;"",L157&lt;&gt;0),J157/L157,"")</x:f>
      </x:c>
      <x:c r="O157" s="45" t="str">
        <x:f>IF(AND(K157&lt;&gt;"",L157&lt;&gt;0),K157/L157,"")</x:f>
      </x:c>
      <x:c r="P157" s="46" t="str">
        <x:f>IF(AND(K157&lt;&gt;"",K157&lt;&gt;0,L157&lt;&gt;""),L157/K157,"")</x:f>
      </x:c>
      <x:c r="Q157" s="46" t="str">
        <x:f>IF(AND(L157&lt;&gt;"",L157&lt;&gt;0,M157&lt;&gt;""),M157/L157,"")</x:f>
      </x:c>
      <x:c r="R157" s="45" t="str">
        <x:f>IF(N157&lt;&gt;"",N157,IF(O157&lt;&gt;"",O157,""))</x:f>
      </x:c>
      <x:c r="S157" s="2" t="str">
        <x:f>IF(N157&lt;&gt;"","志愿/合格",IF(O157&lt;&gt;"","受验/合格",""))</x:f>
      </x:c>
      <x:c r="T157" s="2" t="str">
        <x:v>官方</x:v>
      </x:c>
      <x:c r="U157" s="2" t="str">
        <x:v>高</x:v>
      </x:c>
      <x:c r="V157" s="27" t="str">
        <x:v>2026年度入学試験実施状況（第Ⅰ期・第Ⅱ期）、2025年度秋入学試験実施状況</x:v>
      </x:c>
      <x:c r="W157" s="27" t="str">
        <x:v>PDF p.1「博士前期課程」／地球環境科学専攻・第Ⅰ期（2025年8月）・留学生特別選抜</x:v>
      </x:c>
      <x:c r="X157" s="27" t="str">
        <x:v>https://www.env.nagoya-u.ac.jp/admission/file/status_2025-2026.pdf</x:v>
      </x:c>
      <x:c r="Y157" s="27" t="str">
        <x:v>地球環境科学専攻合计；官网未拆分地球惑星科学系与大气水圈科学系。</x:v>
      </x:c>
      <x:c r="Z157" s="47" t="str">
        <x:v>年度定员在年度合计行。</x:v>
      </x:c>
    </x:row>
    <x:row r="158" ht="38" customHeight="1">
      <x:c r="A158" s="2" t="str">
        <x:v>名古屋大学</x:v>
      </x:c>
      <x:c r="B158" s="2" t="str">
        <x:v>環境学研究科</x:v>
      </x:c>
      <x:c r="C158" s="2" t="str">
        <x:v>地球環境科学専攻</x:v>
      </x:c>
      <x:c r="D158" s="44" t="n">
        <x:v>2026</x:v>
      </x:c>
      <x:c r="E158" s="27" t="str">
        <x:v>第Ⅰ期（2025年8月）</x:v>
      </x:c>
      <x:c r="F158" s="27" t="str">
        <x:v>博士前期課程</x:v>
      </x:c>
      <x:c r="G158" s="27" t="str">
        <x:v>社会人特別選抜</x:v>
      </x:c>
      <x:c r="H158" s="27" t="str">
        <x:v>专攻/系</x:v>
      </x:c>
      <x:c r="I158" s="44"/>
      <x:c r="J158" s="44" t="n">
        <x:v>8</x:v>
      </x:c>
      <x:c r="K158" s="44" t="n">
        <x:v>6</x:v>
      </x:c>
      <x:c r="L158" s="44" t="n">
        <x:v>6</x:v>
      </x:c>
      <x:c r="M158" s="44"/>
      <x:c r="N158" s="45" t="n">
        <x:f>IF(AND(J158&lt;&gt;"",L158&lt;&gt;0),J158/L158,"")</x:f>
        <x:v>1.3333333333333333</x:v>
      </x:c>
      <x:c r="O158" s="45" t="n">
        <x:f>IF(AND(K158&lt;&gt;"",L158&lt;&gt;0),K158/L158,"")</x:f>
        <x:v>1</x:v>
      </x:c>
      <x:c r="P158" s="46" t="n">
        <x:f>IF(AND(K158&lt;&gt;"",K158&lt;&gt;0,L158&lt;&gt;""),L158/K158,"")</x:f>
        <x:v>1</x:v>
      </x:c>
      <x:c r="Q158" s="46" t="str">
        <x:f>IF(AND(L158&lt;&gt;"",L158&lt;&gt;0,M158&lt;&gt;""),M158/L158,"")</x:f>
      </x:c>
      <x:c r="R158" s="45" t="n">
        <x:f>IF(N158&lt;&gt;"",N158,IF(O158&lt;&gt;"",O158,""))</x:f>
        <x:v>1.3333333333333333</x:v>
      </x:c>
      <x:c r="S158" s="2" t="str">
        <x:f>IF(N158&lt;&gt;"","志愿/合格",IF(O158&lt;&gt;"","受验/合格",""))</x:f>
        <x:v>志愿/合格</x:v>
      </x:c>
      <x:c r="T158" s="2" t="str">
        <x:v>官方</x:v>
      </x:c>
      <x:c r="U158" s="2" t="str">
        <x:v>高</x:v>
      </x:c>
      <x:c r="V158" s="27" t="str">
        <x:v>2026年度入学試験実施状況（第Ⅰ期・第Ⅱ期）、2025年度秋入学試験実施状況</x:v>
      </x:c>
      <x:c r="W158" s="27" t="str">
        <x:v>PDF p.1「博士前期課程」／地球環境科学専攻・第Ⅰ期（2025年8月）・社会人特別選抜</x:v>
      </x:c>
      <x:c r="X158" s="27" t="str">
        <x:v>https://www.env.nagoya-u.ac.jp/admission/file/status_2025-2026.pdf</x:v>
      </x:c>
      <x:c r="Y158" s="27" t="str">
        <x:v>地球環境科学専攻合计；官网未拆分地球惑星科学系与大气水圈科学系。</x:v>
      </x:c>
      <x:c r="Z158" s="47" t="str">
        <x:v>年度定员在年度合计行。</x:v>
      </x:c>
    </x:row>
    <x:row r="159" ht="38" customHeight="1">
      <x:c r="A159" s="2" t="str">
        <x:v>名古屋大学</x:v>
      </x:c>
      <x:c r="B159" s="2" t="str">
        <x:v>情報学研究科</x:v>
      </x:c>
      <x:c r="C159" s="2" t="str">
        <x:v>情報システム学専攻</x:v>
      </x:c>
      <x:c r="D159" s="44" t="n">
        <x:v>2024</x:v>
      </x:c>
      <x:c r="E159" s="27" t="str">
        <x:v>第1次・第2次合計</x:v>
      </x:c>
      <x:c r="F159" s="27" t="str">
        <x:v>博士前期課程</x:v>
      </x:c>
      <x:c r="G159" s="27" t="str">
        <x:v>年度合計</x:v>
      </x:c>
      <x:c r="H159" s="27" t="str">
        <x:v>专攻/系</x:v>
      </x:c>
      <x:c r="I159" s="44" t="n">
        <x:v>32</x:v>
      </x:c>
      <x:c r="J159" s="44" t="n">
        <x:v>84</x:v>
      </x:c>
      <x:c r="K159" s="44" t="n">
        <x:v>82</x:v>
      </x:c>
      <x:c r="L159" s="44" t="n">
        <x:v>42</x:v>
      </x:c>
      <x:c r="M159" s="44"/>
      <x:c r="N159" s="45" t="n">
        <x:f>IF(AND(J159&lt;&gt;"",L159&lt;&gt;0),J159/L159,"")</x:f>
        <x:v>2</x:v>
      </x:c>
      <x:c r="O159" s="45" t="n">
        <x:f>IF(AND(K159&lt;&gt;"",L159&lt;&gt;0),K159/L159,"")</x:f>
        <x:v>1.9523809523809523</x:v>
      </x:c>
      <x:c r="P159" s="46" t="n">
        <x:f>IF(AND(K159&lt;&gt;"",K159&lt;&gt;0,L159&lt;&gt;""),L159/K159,"")</x:f>
        <x:v>0.5121951219512195</x:v>
      </x:c>
      <x:c r="Q159" s="46" t="str">
        <x:f>IF(AND(L159&lt;&gt;"",L159&lt;&gt;0,M159&lt;&gt;""),M159/L159,"")</x:f>
      </x:c>
      <x:c r="R159" s="45" t="n">
        <x:f>IF(N159&lt;&gt;"",N159,IF(O159&lt;&gt;"",O159,""))</x:f>
        <x:v>2</x:v>
      </x:c>
      <x:c r="S159" s="2" t="str">
        <x:f>IF(N159&lt;&gt;"","志愿/合格",IF(O159&lt;&gt;"","受验/合格",""))</x:f>
        <x:v>志愿/合格</x:v>
      </x:c>
      <x:c r="T159" s="2" t="str">
        <x:v>官方</x:v>
      </x:c>
      <x:c r="U159" s="2" t="str">
        <x:v>高</x:v>
      </x:c>
      <x:c r="V159" s="27" t="str">
        <x:v>2023年度実施大学院入試 博士前期課程 2024年4月入学試験（2023年8月・2024年2月実施）</x:v>
      </x:c>
      <x:c r="W159" s="27" t="str">
        <x:v>PDF p.1／情報システム学専攻行・合計欄</x:v>
      </x:c>
      <x:c r="X159" s="27" t="str">
        <x:v>https://www.i.nagoya-u.ac.jp/wp-content/uploads/2018/05/da881abcfca5e794e2fcc279de2acd16.pdf</x:v>
      </x:c>
      <x:c r="Y159" s="27" t="str">
        <x:v>専攻単位の精确値。</x:v>
      </x:c>
      <x:c r="Z159" s="47" t="str">
        <x:v>原表未掲載入学者数；本行与期别行重复，汇总时不可重复相加。</x:v>
      </x:c>
    </x:row>
    <x:row r="160" ht="38" customHeight="1">
      <x:c r="A160" s="2" t="str">
        <x:v>名古屋大学</x:v>
      </x:c>
      <x:c r="B160" s="2" t="str">
        <x:v>情報学研究科</x:v>
      </x:c>
      <x:c r="C160" s="2" t="str">
        <x:v>情報システム学専攻</x:v>
      </x:c>
      <x:c r="D160" s="44" t="n">
        <x:v>2024</x:v>
      </x:c>
      <x:c r="E160" s="27" t="str">
        <x:v>第1次（8月実施）</x:v>
      </x:c>
      <x:c r="F160" s="27" t="str">
        <x:v>博士前期課程</x:v>
      </x:c>
      <x:c r="G160" s="27" t="str">
        <x:v>公表された第1次募集合計</x:v>
      </x:c>
      <x:c r="H160" s="27" t="str">
        <x:v>专攻/系</x:v>
      </x:c>
      <x:c r="I160" s="44"/>
      <x:c r="J160" s="44" t="n">
        <x:v>68</x:v>
      </x:c>
      <x:c r="K160" s="44" t="n">
        <x:v>68</x:v>
      </x:c>
      <x:c r="L160" s="44" t="n">
        <x:v>39</x:v>
      </x:c>
      <x:c r="M160" s="44"/>
      <x:c r="N160" s="45" t="n">
        <x:f>IF(AND(J160&lt;&gt;"",L160&lt;&gt;0),J160/L160,"")</x:f>
        <x:v>1.7435897435897436</x:v>
      </x:c>
      <x:c r="O160" s="45" t="n">
        <x:f>IF(AND(K160&lt;&gt;"",L160&lt;&gt;0),K160/L160,"")</x:f>
        <x:v>1.7435897435897436</x:v>
      </x:c>
      <x:c r="P160" s="46" t="n">
        <x:f>IF(AND(K160&lt;&gt;"",K160&lt;&gt;0,L160&lt;&gt;""),L160/K160,"")</x:f>
        <x:v>0.5735294117647058</x:v>
      </x:c>
      <x:c r="Q160" s="46" t="str">
        <x:f>IF(AND(L160&lt;&gt;"",L160&lt;&gt;0,M160&lt;&gt;""),M160/L160,"")</x:f>
      </x:c>
      <x:c r="R160" s="45" t="n">
        <x:f>IF(N160&lt;&gt;"",N160,IF(O160&lt;&gt;"",O160,""))</x:f>
        <x:v>1.7435897435897436</x:v>
      </x:c>
      <x:c r="S160" s="2" t="str">
        <x:f>IF(N160&lt;&gt;"","志愿/合格",IF(O160&lt;&gt;"","受验/合格",""))</x:f>
        <x:v>志愿/合格</x:v>
      </x:c>
      <x:c r="T160" s="2" t="str">
        <x:v>官方</x:v>
      </x:c>
      <x:c r="U160" s="2" t="str">
        <x:v>高</x:v>
      </x:c>
      <x:c r="V160" s="27" t="str">
        <x:v>2023年度実施大学院入試 博士前期課程 2024年4月入学試験（2023年8月・2024年2月実施）</x:v>
      </x:c>
      <x:c r="W160" s="27" t="str">
        <x:v>PDF p.1／情報システム学専攻行・第1次欄</x:v>
      </x:c>
      <x:c r="X160" s="27" t="str">
        <x:v>https://www.i.nagoya-u.ac.jp/wp-content/uploads/2018/05/da881abcfca5e794e2fcc279de2acd16.pdf</x:v>
      </x:c>
      <x:c r="Y160" s="27" t="str">
        <x:v>専攻単位の精确値。</x:v>
      </x:c>
      <x:c r="Z160" s="47" t="str">
        <x:v>年度定員と入学者数は年度合計行にのみ記録。</x:v>
      </x:c>
    </x:row>
    <x:row r="161" ht="38" customHeight="1">
      <x:c r="A161" s="2" t="str">
        <x:v>名古屋大学</x:v>
      </x:c>
      <x:c r="B161" s="2" t="str">
        <x:v>情報学研究科</x:v>
      </x:c>
      <x:c r="C161" s="2" t="str">
        <x:v>情報システム学専攻</x:v>
      </x:c>
      <x:c r="D161" s="44" t="n">
        <x:v>2024</x:v>
      </x:c>
      <x:c r="E161" s="27" t="str">
        <x:v>第2次（2月実施）</x:v>
      </x:c>
      <x:c r="F161" s="27" t="str">
        <x:v>博士前期課程</x:v>
      </x:c>
      <x:c r="G161" s="27" t="str">
        <x:v>公表された第2次募集合計</x:v>
      </x:c>
      <x:c r="H161" s="27" t="str">
        <x:v>专攻/系</x:v>
      </x:c>
      <x:c r="I161" s="44"/>
      <x:c r="J161" s="44" t="n">
        <x:v>16</x:v>
      </x:c>
      <x:c r="K161" s="44" t="n">
        <x:v>14</x:v>
      </x:c>
      <x:c r="L161" s="44" t="n">
        <x:v>3</x:v>
      </x:c>
      <x:c r="M161" s="44"/>
      <x:c r="N161" s="45" t="n">
        <x:f>IF(AND(J161&lt;&gt;"",L161&lt;&gt;0),J161/L161,"")</x:f>
        <x:v>5.333333333333333</x:v>
      </x:c>
      <x:c r="O161" s="45" t="n">
        <x:f>IF(AND(K161&lt;&gt;"",L161&lt;&gt;0),K161/L161,"")</x:f>
        <x:v>4.666666666666667</x:v>
      </x:c>
      <x:c r="P161" s="46" t="n">
        <x:f>IF(AND(K161&lt;&gt;"",K161&lt;&gt;0,L161&lt;&gt;""),L161/K161,"")</x:f>
        <x:v>0.21428571428571427</x:v>
      </x:c>
      <x:c r="Q161" s="46" t="str">
        <x:f>IF(AND(L161&lt;&gt;"",L161&lt;&gt;0,M161&lt;&gt;""),M161/L161,"")</x:f>
      </x:c>
      <x:c r="R161" s="45" t="n">
        <x:f>IF(N161&lt;&gt;"",N161,IF(O161&lt;&gt;"",O161,""))</x:f>
        <x:v>5.333333333333333</x:v>
      </x:c>
      <x:c r="S161" s="2" t="str">
        <x:f>IF(N161&lt;&gt;"","志愿/合格",IF(O161&lt;&gt;"","受验/合格",""))</x:f>
        <x:v>志愿/合格</x:v>
      </x:c>
      <x:c r="T161" s="2" t="str">
        <x:v>官方</x:v>
      </x:c>
      <x:c r="U161" s="2" t="str">
        <x:v>高</x:v>
      </x:c>
      <x:c r="V161" s="27" t="str">
        <x:v>2023年度実施大学院入試 博士前期課程 2024年4月入学試験（2023年8月・2024年2月実施）</x:v>
      </x:c>
      <x:c r="W161" s="27" t="str">
        <x:v>PDF p.1／情報システム学専攻行・第2次欄</x:v>
      </x:c>
      <x:c r="X161" s="27" t="str">
        <x:v>https://www.i.nagoya-u.ac.jp/wp-content/uploads/2018/05/da881abcfca5e794e2fcc279de2acd16.pdf</x:v>
      </x:c>
      <x:c r="Y161" s="27" t="str">
        <x:v>専攻単位の精确値。</x:v>
      </x:c>
      <x:c r="Z161" s="47" t="str">
        <x:v>年度定員と入学者数は年度合計行にのみ記録。</x:v>
      </x:c>
    </x:row>
    <x:row r="162" ht="38" customHeight="1">
      <x:c r="A162" s="2" t="str">
        <x:v>名古屋大学</x:v>
      </x:c>
      <x:c r="B162" s="2" t="str">
        <x:v>情報学研究科</x:v>
      </x:c>
      <x:c r="C162" s="2" t="str">
        <x:v>情報システム学専攻</x:v>
      </x:c>
      <x:c r="D162" s="44" t="n">
        <x:v>2025</x:v>
      </x:c>
      <x:c r="E162" s="27" t="str">
        <x:v>第1次・第2次合計</x:v>
      </x:c>
      <x:c r="F162" s="27" t="str">
        <x:v>博士前期課程</x:v>
      </x:c>
      <x:c r="G162" s="27" t="str">
        <x:v>年度合計</x:v>
      </x:c>
      <x:c r="H162" s="27" t="str">
        <x:v>专攻/系</x:v>
      </x:c>
      <x:c r="I162" s="44" t="n">
        <x:v>33</x:v>
      </x:c>
      <x:c r="J162" s="44" t="n">
        <x:v>84</x:v>
      </x:c>
      <x:c r="K162" s="44" t="n">
        <x:v>77</x:v>
      </x:c>
      <x:c r="L162" s="44" t="n">
        <x:v>42</x:v>
      </x:c>
      <x:c r="M162" s="44" t="n">
        <x:v>40</x:v>
      </x:c>
      <x:c r="N162" s="45" t="n">
        <x:f>IF(AND(J162&lt;&gt;"",L162&lt;&gt;0),J162/L162,"")</x:f>
        <x:v>2</x:v>
      </x:c>
      <x:c r="O162" s="45" t="n">
        <x:f>IF(AND(K162&lt;&gt;"",L162&lt;&gt;0),K162/L162,"")</x:f>
        <x:v>1.8333333333333333</x:v>
      </x:c>
      <x:c r="P162" s="46" t="n">
        <x:f>IF(AND(K162&lt;&gt;"",K162&lt;&gt;0,L162&lt;&gt;""),L162/K162,"")</x:f>
        <x:v>0.5454545454545454</x:v>
      </x:c>
      <x:c r="Q162" s="46" t="n">
        <x:f>IF(AND(L162&lt;&gt;"",L162&lt;&gt;0,M162&lt;&gt;""),M162/L162,"")</x:f>
        <x:v>0.9523809523809523</x:v>
      </x:c>
      <x:c r="R162" s="45" t="n">
        <x:f>IF(N162&lt;&gt;"",N162,IF(O162&lt;&gt;"",O162,""))</x:f>
        <x:v>2</x:v>
      </x:c>
      <x:c r="S162" s="2" t="str">
        <x:f>IF(N162&lt;&gt;"","志愿/合格",IF(O162&lt;&gt;"","受验/合格",""))</x:f>
        <x:v>志愿/合格</x:v>
      </x:c>
      <x:c r="T162" s="2" t="str">
        <x:v>官方</x:v>
      </x:c>
      <x:c r="U162" s="2" t="str">
        <x:v>高</x:v>
      </x:c>
      <x:c r="V162" s="27" t="str">
        <x:v>2024年度実施大学院入試 博士前期課程 2025年4月入学試験（2024年8月・2025年2月実施）</x:v>
      </x:c>
      <x:c r="W162" s="27" t="str">
        <x:v>PDF p.1／情報システム学専攻行・合計欄</x:v>
      </x:c>
      <x:c r="X162" s="27" t="str">
        <x:v>https://www.i.nagoya-u.ac.jp/wp-content/uploads/2018/05/05a0dfb6802945e0bf3e85afa4e246ba.pdf</x:v>
      </x:c>
      <x:c r="Y162" s="27" t="str">
        <x:v>専攻単位の精确値。</x:v>
      </x:c>
      <x:c r="Z162" s="47" t="str">
        <x:v>本行与期别行重复，汇总时不可重复相加。</x:v>
      </x:c>
    </x:row>
    <x:row r="163" ht="38" customHeight="1">
      <x:c r="A163" s="2" t="str">
        <x:v>名古屋大学</x:v>
      </x:c>
      <x:c r="B163" s="2" t="str">
        <x:v>情報学研究科</x:v>
      </x:c>
      <x:c r="C163" s="2" t="str">
        <x:v>情報システム学専攻</x:v>
      </x:c>
      <x:c r="D163" s="44" t="n">
        <x:v>2025</x:v>
      </x:c>
      <x:c r="E163" s="27" t="str">
        <x:v>第1次（8月実施）</x:v>
      </x:c>
      <x:c r="F163" s="27" t="str">
        <x:v>博士前期課程</x:v>
      </x:c>
      <x:c r="G163" s="27" t="str">
        <x:v>公表された第1次募集合計</x:v>
      </x:c>
      <x:c r="H163" s="27" t="str">
        <x:v>专攻/系</x:v>
      </x:c>
      <x:c r="I163" s="44"/>
      <x:c r="J163" s="44" t="n">
        <x:v>75</x:v>
      </x:c>
      <x:c r="K163" s="44" t="n">
        <x:v>68</x:v>
      </x:c>
      <x:c r="L163" s="44" t="n">
        <x:v>38</x:v>
      </x:c>
      <x:c r="M163" s="44"/>
      <x:c r="N163" s="45" t="n">
        <x:f>IF(AND(J163&lt;&gt;"",L163&lt;&gt;0),J163/L163,"")</x:f>
        <x:v>1.9736842105263157</x:v>
      </x:c>
      <x:c r="O163" s="45" t="n">
        <x:f>IF(AND(K163&lt;&gt;"",L163&lt;&gt;0),K163/L163,"")</x:f>
        <x:v>1.7894736842105263</x:v>
      </x:c>
      <x:c r="P163" s="46" t="n">
        <x:f>IF(AND(K163&lt;&gt;"",K163&lt;&gt;0,L163&lt;&gt;""),L163/K163,"")</x:f>
        <x:v>0.5588235294117647</x:v>
      </x:c>
      <x:c r="Q163" s="46" t="str">
        <x:f>IF(AND(L163&lt;&gt;"",L163&lt;&gt;0,M163&lt;&gt;""),M163/L163,"")</x:f>
      </x:c>
      <x:c r="R163" s="45" t="n">
        <x:f>IF(N163&lt;&gt;"",N163,IF(O163&lt;&gt;"",O163,""))</x:f>
        <x:v>1.9736842105263157</x:v>
      </x:c>
      <x:c r="S163" s="2" t="str">
        <x:f>IF(N163&lt;&gt;"","志愿/合格",IF(O163&lt;&gt;"","受验/合格",""))</x:f>
        <x:v>志愿/合格</x:v>
      </x:c>
      <x:c r="T163" s="2" t="str">
        <x:v>官方</x:v>
      </x:c>
      <x:c r="U163" s="2" t="str">
        <x:v>高</x:v>
      </x:c>
      <x:c r="V163" s="27" t="str">
        <x:v>2024年度実施大学院入試 博士前期課程 2025年4月入学試験（2024年8月・2025年2月実施）</x:v>
      </x:c>
      <x:c r="W163" s="27" t="str">
        <x:v>PDF p.1／情報システム学専攻行・第1次欄</x:v>
      </x:c>
      <x:c r="X163" s="27" t="str">
        <x:v>https://www.i.nagoya-u.ac.jp/wp-content/uploads/2018/05/05a0dfb6802945e0bf3e85afa4e246ba.pdf</x:v>
      </x:c>
      <x:c r="Y163" s="27" t="str">
        <x:v>専攻単位の精确値。</x:v>
      </x:c>
      <x:c r="Z163" s="47" t="str">
        <x:v>年度定員と入学者数は年度合計行にのみ記録。</x:v>
      </x:c>
    </x:row>
    <x:row r="164" ht="38" customHeight="1">
      <x:c r="A164" s="2" t="str">
        <x:v>名古屋大学</x:v>
      </x:c>
      <x:c r="B164" s="2" t="str">
        <x:v>情報学研究科</x:v>
      </x:c>
      <x:c r="C164" s="2" t="str">
        <x:v>情報システム学専攻</x:v>
      </x:c>
      <x:c r="D164" s="44" t="n">
        <x:v>2025</x:v>
      </x:c>
      <x:c r="E164" s="27" t="str">
        <x:v>第2次（2月実施）</x:v>
      </x:c>
      <x:c r="F164" s="27" t="str">
        <x:v>博士前期課程</x:v>
      </x:c>
      <x:c r="G164" s="27" t="str">
        <x:v>公表された第2次募集合計</x:v>
      </x:c>
      <x:c r="H164" s="27" t="str">
        <x:v>专攻/系</x:v>
      </x:c>
      <x:c r="I164" s="44"/>
      <x:c r="J164" s="44" t="n">
        <x:v>9</x:v>
      </x:c>
      <x:c r="K164" s="44" t="n">
        <x:v>9</x:v>
      </x:c>
      <x:c r="L164" s="44" t="n">
        <x:v>4</x:v>
      </x:c>
      <x:c r="M164" s="44"/>
      <x:c r="N164" s="45" t="n">
        <x:f>IF(AND(J164&lt;&gt;"",L164&lt;&gt;0),J164/L164,"")</x:f>
        <x:v>2.25</x:v>
      </x:c>
      <x:c r="O164" s="45" t="n">
        <x:f>IF(AND(K164&lt;&gt;"",L164&lt;&gt;0),K164/L164,"")</x:f>
        <x:v>2.25</x:v>
      </x:c>
      <x:c r="P164" s="46" t="n">
        <x:f>IF(AND(K164&lt;&gt;"",K164&lt;&gt;0,L164&lt;&gt;""),L164/K164,"")</x:f>
        <x:v>0.4444444444444444</x:v>
      </x:c>
      <x:c r="Q164" s="46" t="str">
        <x:f>IF(AND(L164&lt;&gt;"",L164&lt;&gt;0,M164&lt;&gt;""),M164/L164,"")</x:f>
      </x:c>
      <x:c r="R164" s="45" t="n">
        <x:f>IF(N164&lt;&gt;"",N164,IF(O164&lt;&gt;"",O164,""))</x:f>
        <x:v>2.25</x:v>
      </x:c>
      <x:c r="S164" s="2" t="str">
        <x:f>IF(N164&lt;&gt;"","志愿/合格",IF(O164&lt;&gt;"","受验/合格",""))</x:f>
        <x:v>志愿/合格</x:v>
      </x:c>
      <x:c r="T164" s="2" t="str">
        <x:v>官方</x:v>
      </x:c>
      <x:c r="U164" s="2" t="str">
        <x:v>高</x:v>
      </x:c>
      <x:c r="V164" s="27" t="str">
        <x:v>2024年度実施大学院入試 博士前期課程 2025年4月入学試験（2024年8月・2025年2月実施）</x:v>
      </x:c>
      <x:c r="W164" s="27" t="str">
        <x:v>PDF p.1／情報システム学専攻行・第2次欄</x:v>
      </x:c>
      <x:c r="X164" s="27" t="str">
        <x:v>https://www.i.nagoya-u.ac.jp/wp-content/uploads/2018/05/05a0dfb6802945e0bf3e85afa4e246ba.pdf</x:v>
      </x:c>
      <x:c r="Y164" s="27" t="str">
        <x:v>専攻単位の精确値。</x:v>
      </x:c>
      <x:c r="Z164" s="47" t="str">
        <x:v>年度定員と入学者数は年度合計行にのみ記録。</x:v>
      </x:c>
    </x:row>
    <x:row r="165" ht="38" customHeight="1">
      <x:c r="A165" s="2" t="str">
        <x:v>名古屋大学</x:v>
      </x:c>
      <x:c r="B165" s="2" t="str">
        <x:v>情報学研究科</x:v>
      </x:c>
      <x:c r="C165" s="2" t="str">
        <x:v>情報システム学専攻</x:v>
      </x:c>
      <x:c r="D165" s="44" t="n">
        <x:v>2026</x:v>
      </x:c>
      <x:c r="E165" s="27" t="str">
        <x:v>第1次・第2次合計</x:v>
      </x:c>
      <x:c r="F165" s="27" t="str">
        <x:v>博士前期課程</x:v>
      </x:c>
      <x:c r="G165" s="27" t="str">
        <x:v>年度合計</x:v>
      </x:c>
      <x:c r="H165" s="27" t="str">
        <x:v>专攻/系</x:v>
      </x:c>
      <x:c r="I165" s="44" t="n">
        <x:v>33</x:v>
      </x:c>
      <x:c r="J165" s="44" t="n">
        <x:v>87</x:v>
      </x:c>
      <x:c r="K165" s="44" t="n">
        <x:v>73</x:v>
      </x:c>
      <x:c r="L165" s="44" t="n">
        <x:v>38</x:v>
      </x:c>
      <x:c r="M165" s="44" t="n">
        <x:v>32</x:v>
      </x:c>
      <x:c r="N165" s="45" t="n">
        <x:f>IF(AND(J165&lt;&gt;"",L165&lt;&gt;0),J165/L165,"")</x:f>
        <x:v>2.289473684210526</x:v>
      </x:c>
      <x:c r="O165" s="45" t="n">
        <x:f>IF(AND(K165&lt;&gt;"",L165&lt;&gt;0),K165/L165,"")</x:f>
        <x:v>1.9210526315789473</x:v>
      </x:c>
      <x:c r="P165" s="46" t="n">
        <x:f>IF(AND(K165&lt;&gt;"",K165&lt;&gt;0,L165&lt;&gt;""),L165/K165,"")</x:f>
        <x:v>0.5205479452054794</x:v>
      </x:c>
      <x:c r="Q165" s="46" t="n">
        <x:f>IF(AND(L165&lt;&gt;"",L165&lt;&gt;0,M165&lt;&gt;""),M165/L165,"")</x:f>
        <x:v>0.8421052631578947</x:v>
      </x:c>
      <x:c r="R165" s="45" t="n">
        <x:f>IF(N165&lt;&gt;"",N165,IF(O165&lt;&gt;"",O165,""))</x:f>
        <x:v>2.289473684210526</x:v>
      </x:c>
      <x:c r="S165" s="2" t="str">
        <x:f>IF(N165&lt;&gt;"","志愿/合格",IF(O165&lt;&gt;"","受验/合格",""))</x:f>
        <x:v>志愿/合格</x:v>
      </x:c>
      <x:c r="T165" s="2" t="str">
        <x:v>官方</x:v>
      </x:c>
      <x:c r="U165" s="2" t="str">
        <x:v>高</x:v>
      </x:c>
      <x:c r="V165" s="27" t="str">
        <x:v>2025年度実施大学院入試 博士前期課程 2026年4月入学試験（2025年8月・2026年2月実施）</x:v>
      </x:c>
      <x:c r="W165" s="27" t="str">
        <x:v>PDF p.1／情報システム学専攻行・合計欄</x:v>
      </x:c>
      <x:c r="X165" s="27" t="str">
        <x:v>https://www.i.nagoya-u.ac.jp/wp-content/uploads/2018/05/8b04b626656e26978db091d8329a9e1e.pdf</x:v>
      </x:c>
      <x:c r="Y165" s="27" t="str">
        <x:v>専攻単位の精确値。</x:v>
      </x:c>
      <x:c r="Z165" s="47" t="str">
        <x:v>本行与期别行重复，汇总时不可重复相加。</x:v>
      </x:c>
    </x:row>
    <x:row r="166" ht="38" customHeight="1">
      <x:c r="A166" s="2" t="str">
        <x:v>名古屋大学</x:v>
      </x:c>
      <x:c r="B166" s="2" t="str">
        <x:v>情報学研究科</x:v>
      </x:c>
      <x:c r="C166" s="2" t="str">
        <x:v>情報システム学専攻</x:v>
      </x:c>
      <x:c r="D166" s="44" t="n">
        <x:v>2026</x:v>
      </x:c>
      <x:c r="E166" s="27" t="str">
        <x:v>第1次（8月実施）</x:v>
      </x:c>
      <x:c r="F166" s="27" t="str">
        <x:v>博士前期課程</x:v>
      </x:c>
      <x:c r="G166" s="27" t="str">
        <x:v>公表された第1次募集合計</x:v>
      </x:c>
      <x:c r="H166" s="27" t="str">
        <x:v>专攻/系</x:v>
      </x:c>
      <x:c r="I166" s="44"/>
      <x:c r="J166" s="44" t="n">
        <x:v>79</x:v>
      </x:c>
      <x:c r="K166" s="44" t="n">
        <x:v>69</x:v>
      </x:c>
      <x:c r="L166" s="44" t="n">
        <x:v>35</x:v>
      </x:c>
      <x:c r="M166" s="44"/>
      <x:c r="N166" s="45" t="n">
        <x:f>IF(AND(J166&lt;&gt;"",L166&lt;&gt;0),J166/L166,"")</x:f>
        <x:v>2.257142857142857</x:v>
      </x:c>
      <x:c r="O166" s="45" t="n">
        <x:f>IF(AND(K166&lt;&gt;"",L166&lt;&gt;0),K166/L166,"")</x:f>
        <x:v>1.9714285714285715</x:v>
      </x:c>
      <x:c r="P166" s="46" t="n">
        <x:f>IF(AND(K166&lt;&gt;"",K166&lt;&gt;0,L166&lt;&gt;""),L166/K166,"")</x:f>
        <x:v>0.5072463768115942</x:v>
      </x:c>
      <x:c r="Q166" s="46" t="str">
        <x:f>IF(AND(L166&lt;&gt;"",L166&lt;&gt;0,M166&lt;&gt;""),M166/L166,"")</x:f>
      </x:c>
      <x:c r="R166" s="45" t="n">
        <x:f>IF(N166&lt;&gt;"",N166,IF(O166&lt;&gt;"",O166,""))</x:f>
        <x:v>2.257142857142857</x:v>
      </x:c>
      <x:c r="S166" s="2" t="str">
        <x:f>IF(N166&lt;&gt;"","志愿/合格",IF(O166&lt;&gt;"","受验/合格",""))</x:f>
        <x:v>志愿/合格</x:v>
      </x:c>
      <x:c r="T166" s="2" t="str">
        <x:v>官方</x:v>
      </x:c>
      <x:c r="U166" s="2" t="str">
        <x:v>高</x:v>
      </x:c>
      <x:c r="V166" s="27" t="str">
        <x:v>2025年度実施大学院入試 博士前期課程 2026年4月入学試験（2025年8月・2026年2月実施）</x:v>
      </x:c>
      <x:c r="W166" s="27" t="str">
        <x:v>PDF p.1／情報システム学専攻行・第1次欄</x:v>
      </x:c>
      <x:c r="X166" s="27" t="str">
        <x:v>https://www.i.nagoya-u.ac.jp/wp-content/uploads/2018/05/8b04b626656e26978db091d8329a9e1e.pdf</x:v>
      </x:c>
      <x:c r="Y166" s="27" t="str">
        <x:v>専攻単位の精确値。</x:v>
      </x:c>
      <x:c r="Z166" s="47" t="str">
        <x:v>年度定員と入学者数は年度合計行にのみ記録。</x:v>
      </x:c>
    </x:row>
    <x:row r="167" ht="38" customHeight="1">
      <x:c r="A167" s="2" t="str">
        <x:v>名古屋大学</x:v>
      </x:c>
      <x:c r="B167" s="2" t="str">
        <x:v>情報学研究科</x:v>
      </x:c>
      <x:c r="C167" s="2" t="str">
        <x:v>情報システム学専攻</x:v>
      </x:c>
      <x:c r="D167" s="44" t="n">
        <x:v>2026</x:v>
      </x:c>
      <x:c r="E167" s="27" t="str">
        <x:v>第2次（2月実施）</x:v>
      </x:c>
      <x:c r="F167" s="27" t="str">
        <x:v>博士前期課程</x:v>
      </x:c>
      <x:c r="G167" s="27" t="str">
        <x:v>公表された第2次募集合計</x:v>
      </x:c>
      <x:c r="H167" s="27" t="str">
        <x:v>专攻/系</x:v>
      </x:c>
      <x:c r="I167" s="44"/>
      <x:c r="J167" s="44" t="n">
        <x:v>8</x:v>
      </x:c>
      <x:c r="K167" s="44" t="n">
        <x:v>4</x:v>
      </x:c>
      <x:c r="L167" s="44" t="n">
        <x:v>3</x:v>
      </x:c>
      <x:c r="M167" s="44"/>
      <x:c r="N167" s="45" t="n">
        <x:f>IF(AND(J167&lt;&gt;"",L167&lt;&gt;0),J167/L167,"")</x:f>
        <x:v>2.6666666666666665</x:v>
      </x:c>
      <x:c r="O167" s="45" t="n">
        <x:f>IF(AND(K167&lt;&gt;"",L167&lt;&gt;0),K167/L167,"")</x:f>
        <x:v>1.3333333333333333</x:v>
      </x:c>
      <x:c r="P167" s="46" t="n">
        <x:f>IF(AND(K167&lt;&gt;"",K167&lt;&gt;0,L167&lt;&gt;""),L167/K167,"")</x:f>
        <x:v>0.75</x:v>
      </x:c>
      <x:c r="Q167" s="46" t="str">
        <x:f>IF(AND(L167&lt;&gt;"",L167&lt;&gt;0,M167&lt;&gt;""),M167/L167,"")</x:f>
      </x:c>
      <x:c r="R167" s="45" t="n">
        <x:f>IF(N167&lt;&gt;"",N167,IF(O167&lt;&gt;"",O167,""))</x:f>
        <x:v>2.6666666666666665</x:v>
      </x:c>
      <x:c r="S167" s="2" t="str">
        <x:f>IF(N167&lt;&gt;"","志愿/合格",IF(O167&lt;&gt;"","受验/合格",""))</x:f>
        <x:v>志愿/合格</x:v>
      </x:c>
      <x:c r="T167" s="2" t="str">
        <x:v>官方</x:v>
      </x:c>
      <x:c r="U167" s="2" t="str">
        <x:v>高</x:v>
      </x:c>
      <x:c r="V167" s="27" t="str">
        <x:v>2025年度実施大学院入試 博士前期課程 2026年4月入学試験（2025年8月・2026年2月実施）</x:v>
      </x:c>
      <x:c r="W167" s="27" t="str">
        <x:v>PDF p.1／情報システム学専攻行・第2次欄</x:v>
      </x:c>
      <x:c r="X167" s="27" t="str">
        <x:v>https://www.i.nagoya-u.ac.jp/wp-content/uploads/2018/05/8b04b626656e26978db091d8329a9e1e.pdf</x:v>
      </x:c>
      <x:c r="Y167" s="27" t="str">
        <x:v>専攻単位の精确値。</x:v>
      </x:c>
      <x:c r="Z167" s="47" t="str">
        <x:v>年度定員と入学者数は年度合計行にのみ記録。</x:v>
      </x:c>
    </x:row>
    <x:row r="168" ht="38" customHeight="1">
      <x:c r="A168" s="2" t="str">
        <x:v>名古屋大学</x:v>
      </x:c>
      <x:c r="B168" s="2" t="str">
        <x:v>情報学研究科</x:v>
      </x:c>
      <x:c r="C168" s="2" t="str">
        <x:v>数理情報学専攻</x:v>
      </x:c>
      <x:c r="D168" s="44" t="n">
        <x:v>2024</x:v>
      </x:c>
      <x:c r="E168" s="27" t="str">
        <x:v>第1次・第2次合計</x:v>
      </x:c>
      <x:c r="F168" s="27" t="str">
        <x:v>博士前期課程</x:v>
      </x:c>
      <x:c r="G168" s="27" t="str">
        <x:v>年度合計</x:v>
      </x:c>
      <x:c r="H168" s="27" t="str">
        <x:v>专攻/系</x:v>
      </x:c>
      <x:c r="I168" s="44" t="n">
        <x:v>14</x:v>
      </x:c>
      <x:c r="J168" s="44" t="n">
        <x:v>44</x:v>
      </x:c>
      <x:c r="K168" s="44" t="n">
        <x:v>38</x:v>
      </x:c>
      <x:c r="L168" s="44" t="n">
        <x:v>19</x:v>
      </x:c>
      <x:c r="M168" s="44"/>
      <x:c r="N168" s="45" t="n">
        <x:f>IF(AND(J168&lt;&gt;"",L168&lt;&gt;0),J168/L168,"")</x:f>
        <x:v>2.3157894736842106</x:v>
      </x:c>
      <x:c r="O168" s="45" t="n">
        <x:f>IF(AND(K168&lt;&gt;"",L168&lt;&gt;0),K168/L168,"")</x:f>
        <x:v>2</x:v>
      </x:c>
      <x:c r="P168" s="46" t="n">
        <x:f>IF(AND(K168&lt;&gt;"",K168&lt;&gt;0,L168&lt;&gt;""),L168/K168,"")</x:f>
        <x:v>0.5</x:v>
      </x:c>
      <x:c r="Q168" s="46" t="str">
        <x:f>IF(AND(L168&lt;&gt;"",L168&lt;&gt;0,M168&lt;&gt;""),M168/L168,"")</x:f>
      </x:c>
      <x:c r="R168" s="45" t="n">
        <x:f>IF(N168&lt;&gt;"",N168,IF(O168&lt;&gt;"",O168,""))</x:f>
        <x:v>2.3157894736842106</x:v>
      </x:c>
      <x:c r="S168" s="2" t="str">
        <x:f>IF(N168&lt;&gt;"","志愿/合格",IF(O168&lt;&gt;"","受验/合格",""))</x:f>
        <x:v>志愿/合格</x:v>
      </x:c>
      <x:c r="T168" s="2" t="str">
        <x:v>官方</x:v>
      </x:c>
      <x:c r="U168" s="2" t="str">
        <x:v>高</x:v>
      </x:c>
      <x:c r="V168" s="27" t="str">
        <x:v>2023年度実施大学院入試 博士前期課程 2024年4月入学試験（2023年8月・2024年2月実施）</x:v>
      </x:c>
      <x:c r="W168" s="27" t="str">
        <x:v>PDF p.1／数理情報学専攻行・合計欄</x:v>
      </x:c>
      <x:c r="X168" s="27" t="str">
        <x:v>https://www.i.nagoya-u.ac.jp/wp-content/uploads/2018/05/da881abcfca5e794e2fcc279de2acd16.pdf</x:v>
      </x:c>
      <x:c r="Y168" s="27" t="str">
        <x:v>専攻単位の精确値。</x:v>
      </x:c>
      <x:c r="Z168" s="47" t="str">
        <x:v>原表未掲載入学者数；本行与期别行重复，汇总时不可重复相加。</x:v>
      </x:c>
    </x:row>
    <x:row r="169" ht="38" customHeight="1">
      <x:c r="A169" s="2" t="str">
        <x:v>名古屋大学</x:v>
      </x:c>
      <x:c r="B169" s="2" t="str">
        <x:v>情報学研究科</x:v>
      </x:c>
      <x:c r="C169" s="2" t="str">
        <x:v>数理情報学専攻</x:v>
      </x:c>
      <x:c r="D169" s="44" t="n">
        <x:v>2024</x:v>
      </x:c>
      <x:c r="E169" s="27" t="str">
        <x:v>第1次（8月実施）</x:v>
      </x:c>
      <x:c r="F169" s="27" t="str">
        <x:v>博士前期課程</x:v>
      </x:c>
      <x:c r="G169" s="27" t="str">
        <x:v>公表された第1次募集合計</x:v>
      </x:c>
      <x:c r="H169" s="27" t="str">
        <x:v>专攻/系</x:v>
      </x:c>
      <x:c r="I169" s="44"/>
      <x:c r="J169" s="44" t="n">
        <x:v>37</x:v>
      </x:c>
      <x:c r="K169" s="44" t="n">
        <x:v>32</x:v>
      </x:c>
      <x:c r="L169" s="44" t="n">
        <x:v>19</x:v>
      </x:c>
      <x:c r="M169" s="44"/>
      <x:c r="N169" s="45" t="n">
        <x:f>IF(AND(J169&lt;&gt;"",L169&lt;&gt;0),J169/L169,"")</x:f>
        <x:v>1.9473684210526316</x:v>
      </x:c>
      <x:c r="O169" s="45" t="n">
        <x:f>IF(AND(K169&lt;&gt;"",L169&lt;&gt;0),K169/L169,"")</x:f>
        <x:v>1.6842105263157894</x:v>
      </x:c>
      <x:c r="P169" s="46" t="n">
        <x:f>IF(AND(K169&lt;&gt;"",K169&lt;&gt;0,L169&lt;&gt;""),L169/K169,"")</x:f>
        <x:v>0.59375</x:v>
      </x:c>
      <x:c r="Q169" s="46" t="str">
        <x:f>IF(AND(L169&lt;&gt;"",L169&lt;&gt;0,M169&lt;&gt;""),M169/L169,"")</x:f>
      </x:c>
      <x:c r="R169" s="45" t="n">
        <x:f>IF(N169&lt;&gt;"",N169,IF(O169&lt;&gt;"",O169,""))</x:f>
        <x:v>1.9473684210526316</x:v>
      </x:c>
      <x:c r="S169" s="2" t="str">
        <x:f>IF(N169&lt;&gt;"","志愿/合格",IF(O169&lt;&gt;"","受验/合格",""))</x:f>
        <x:v>志愿/合格</x:v>
      </x:c>
      <x:c r="T169" s="2" t="str">
        <x:v>官方</x:v>
      </x:c>
      <x:c r="U169" s="2" t="str">
        <x:v>高</x:v>
      </x:c>
      <x:c r="V169" s="27" t="str">
        <x:v>2023年度実施大学院入試 博士前期課程 2024年4月入学試験（2023年8月・2024年2月実施）</x:v>
      </x:c>
      <x:c r="W169" s="27" t="str">
        <x:v>PDF p.1／数理情報学専攻行・第1次欄</x:v>
      </x:c>
      <x:c r="X169" s="27" t="str">
        <x:v>https://www.i.nagoya-u.ac.jp/wp-content/uploads/2018/05/da881abcfca5e794e2fcc279de2acd16.pdf</x:v>
      </x:c>
      <x:c r="Y169" s="27" t="str">
        <x:v>専攻単位の精确値。</x:v>
      </x:c>
      <x:c r="Z169" s="47" t="str">
        <x:v>年度定員と入学者数は年度合計行にのみ記録。</x:v>
      </x:c>
    </x:row>
    <x:row r="170" ht="38" customHeight="1">
      <x:c r="A170" s="2" t="str">
        <x:v>名古屋大学</x:v>
      </x:c>
      <x:c r="B170" s="2" t="str">
        <x:v>情報学研究科</x:v>
      </x:c>
      <x:c r="C170" s="2" t="str">
        <x:v>数理情報学専攻</x:v>
      </x:c>
      <x:c r="D170" s="44" t="n">
        <x:v>2024</x:v>
      </x:c>
      <x:c r="E170" s="27" t="str">
        <x:v>第2次（2月実施）</x:v>
      </x:c>
      <x:c r="F170" s="27" t="str">
        <x:v>博士前期課程</x:v>
      </x:c>
      <x:c r="G170" s="27" t="str">
        <x:v>公表された第2次募集合計</x:v>
      </x:c>
      <x:c r="H170" s="27" t="str">
        <x:v>专攻/系</x:v>
      </x:c>
      <x:c r="I170" s="44"/>
      <x:c r="J170" s="44" t="n">
        <x:v>7</x:v>
      </x:c>
      <x:c r="K170" s="44" t="n">
        <x:v>6</x:v>
      </x:c>
      <x:c r="L170" s="44" t="n">
        <x:v>0</x:v>
      </x:c>
      <x:c r="M170" s="44"/>
      <x:c r="N170" s="45" t="str">
        <x:f>IF(AND(J170&lt;&gt;"",L170&lt;&gt;0),J170/L170,"")</x:f>
      </x:c>
      <x:c r="O170" s="45" t="str">
        <x:f>IF(AND(K170&lt;&gt;"",L170&lt;&gt;0),K170/L170,"")</x:f>
      </x:c>
      <x:c r="P170" s="46" t="str">
        <x:f>IF(AND(K170&lt;&gt;"",K170&lt;&gt;0,L170&lt;&gt;""),L170/K170,"")</x:f>
      </x:c>
      <x:c r="Q170" s="46" t="str">
        <x:f>IF(AND(L170&lt;&gt;"",L170&lt;&gt;0,M170&lt;&gt;""),M170/L170,"")</x:f>
      </x:c>
      <x:c r="R170" s="45" t="str">
        <x:f>IF(N170&lt;&gt;"",N170,IF(O170&lt;&gt;"",O170,""))</x:f>
      </x:c>
      <x:c r="S170" s="2" t="str">
        <x:f>IF(N170&lt;&gt;"","志愿/合格",IF(O170&lt;&gt;"","受验/合格",""))</x:f>
      </x:c>
      <x:c r="T170" s="2" t="str">
        <x:v>官方</x:v>
      </x:c>
      <x:c r="U170" s="2" t="str">
        <x:v>高</x:v>
      </x:c>
      <x:c r="V170" s="27" t="str">
        <x:v>2023年度実施大学院入試 博士前期課程 2024年4月入学試験（2023年8月・2024年2月実施）</x:v>
      </x:c>
      <x:c r="W170" s="27" t="str">
        <x:v>PDF p.1／数理情報学専攻行・第2次欄</x:v>
      </x:c>
      <x:c r="X170" s="27" t="str">
        <x:v>https://www.i.nagoya-u.ac.jp/wp-content/uploads/2018/05/da881abcfca5e794e2fcc279de2acd16.pdf</x:v>
      </x:c>
      <x:c r="Y170" s="27" t="str">
        <x:v>専攻単位の精确値。</x:v>
      </x:c>
      <x:c r="Z170" s="47" t="str">
        <x:v>年度定員と入学者数は年度合計行にのみ記録。</x:v>
      </x:c>
    </x:row>
    <x:row r="171" ht="38" customHeight="1">
      <x:c r="A171" s="2" t="str">
        <x:v>名古屋大学</x:v>
      </x:c>
      <x:c r="B171" s="2" t="str">
        <x:v>情報学研究科</x:v>
      </x:c>
      <x:c r="C171" s="2" t="str">
        <x:v>数理情報学専攻</x:v>
      </x:c>
      <x:c r="D171" s="44" t="n">
        <x:v>2025</x:v>
      </x:c>
      <x:c r="E171" s="27" t="str">
        <x:v>第1次・第2次合計</x:v>
      </x:c>
      <x:c r="F171" s="27" t="str">
        <x:v>博士前期課程</x:v>
      </x:c>
      <x:c r="G171" s="27" t="str">
        <x:v>年度合計</x:v>
      </x:c>
      <x:c r="H171" s="27" t="str">
        <x:v>专攻/系</x:v>
      </x:c>
      <x:c r="I171" s="44" t="n">
        <x:v>14</x:v>
      </x:c>
      <x:c r="J171" s="44" t="n">
        <x:v>41</x:v>
      </x:c>
      <x:c r="K171" s="44" t="n">
        <x:v>37</x:v>
      </x:c>
      <x:c r="L171" s="44" t="n">
        <x:v>20</x:v>
      </x:c>
      <x:c r="M171" s="44" t="n">
        <x:v>18</x:v>
      </x:c>
      <x:c r="N171" s="45" t="n">
        <x:f>IF(AND(J171&lt;&gt;"",L171&lt;&gt;0),J171/L171,"")</x:f>
        <x:v>2.05</x:v>
      </x:c>
      <x:c r="O171" s="45" t="n">
        <x:f>IF(AND(K171&lt;&gt;"",L171&lt;&gt;0),K171/L171,"")</x:f>
        <x:v>1.85</x:v>
      </x:c>
      <x:c r="P171" s="46" t="n">
        <x:f>IF(AND(K171&lt;&gt;"",K171&lt;&gt;0,L171&lt;&gt;""),L171/K171,"")</x:f>
        <x:v>0.5405405405405406</x:v>
      </x:c>
      <x:c r="Q171" s="46" t="n">
        <x:f>IF(AND(L171&lt;&gt;"",L171&lt;&gt;0,M171&lt;&gt;""),M171/L171,"")</x:f>
        <x:v>0.9</x:v>
      </x:c>
      <x:c r="R171" s="45" t="n">
        <x:f>IF(N171&lt;&gt;"",N171,IF(O171&lt;&gt;"",O171,""))</x:f>
        <x:v>2.05</x:v>
      </x:c>
      <x:c r="S171" s="2" t="str">
        <x:f>IF(N171&lt;&gt;"","志愿/合格",IF(O171&lt;&gt;"","受验/合格",""))</x:f>
        <x:v>志愿/合格</x:v>
      </x:c>
      <x:c r="T171" s="2" t="str">
        <x:v>官方</x:v>
      </x:c>
      <x:c r="U171" s="2" t="str">
        <x:v>高</x:v>
      </x:c>
      <x:c r="V171" s="27" t="str">
        <x:v>2024年度実施大学院入試 博士前期課程 2025年4月入学試験（2024年8月・2025年2月実施）</x:v>
      </x:c>
      <x:c r="W171" s="27" t="str">
        <x:v>PDF p.1／数理情報学専攻行・合計欄</x:v>
      </x:c>
      <x:c r="X171" s="27" t="str">
        <x:v>https://www.i.nagoya-u.ac.jp/wp-content/uploads/2018/05/05a0dfb6802945e0bf3e85afa4e246ba.pdf</x:v>
      </x:c>
      <x:c r="Y171" s="27" t="str">
        <x:v>専攻単位の精确値。</x:v>
      </x:c>
      <x:c r="Z171" s="47" t="str">
        <x:v>本行与期别行重复，汇总时不可重复相加。</x:v>
      </x:c>
    </x:row>
    <x:row r="172" ht="38" customHeight="1">
      <x:c r="A172" s="2" t="str">
        <x:v>名古屋大学</x:v>
      </x:c>
      <x:c r="B172" s="2" t="str">
        <x:v>情報学研究科</x:v>
      </x:c>
      <x:c r="C172" s="2" t="str">
        <x:v>数理情報学専攻</x:v>
      </x:c>
      <x:c r="D172" s="44" t="n">
        <x:v>2025</x:v>
      </x:c>
      <x:c r="E172" s="27" t="str">
        <x:v>第1次（8月実施）</x:v>
      </x:c>
      <x:c r="F172" s="27" t="str">
        <x:v>博士前期課程</x:v>
      </x:c>
      <x:c r="G172" s="27" t="str">
        <x:v>公表された第1次募集合計</x:v>
      </x:c>
      <x:c r="H172" s="27" t="str">
        <x:v>专攻/系</x:v>
      </x:c>
      <x:c r="I172" s="44"/>
      <x:c r="J172" s="44" t="n">
        <x:v>36</x:v>
      </x:c>
      <x:c r="K172" s="44" t="n">
        <x:v>35</x:v>
      </x:c>
      <x:c r="L172" s="44" t="n">
        <x:v>20</x:v>
      </x:c>
      <x:c r="M172" s="44"/>
      <x:c r="N172" s="45" t="n">
        <x:f>IF(AND(J172&lt;&gt;"",L172&lt;&gt;0),J172/L172,"")</x:f>
        <x:v>1.8</x:v>
      </x:c>
      <x:c r="O172" s="45" t="n">
        <x:f>IF(AND(K172&lt;&gt;"",L172&lt;&gt;0),K172/L172,"")</x:f>
        <x:v>1.75</x:v>
      </x:c>
      <x:c r="P172" s="46" t="n">
        <x:f>IF(AND(K172&lt;&gt;"",K172&lt;&gt;0,L172&lt;&gt;""),L172/K172,"")</x:f>
        <x:v>0.5714285714285714</x:v>
      </x:c>
      <x:c r="Q172" s="46" t="str">
        <x:f>IF(AND(L172&lt;&gt;"",L172&lt;&gt;0,M172&lt;&gt;""),M172/L172,"")</x:f>
      </x:c>
      <x:c r="R172" s="45" t="n">
        <x:f>IF(N172&lt;&gt;"",N172,IF(O172&lt;&gt;"",O172,""))</x:f>
        <x:v>1.8</x:v>
      </x:c>
      <x:c r="S172" s="2" t="str">
        <x:f>IF(N172&lt;&gt;"","志愿/合格",IF(O172&lt;&gt;"","受验/合格",""))</x:f>
        <x:v>志愿/合格</x:v>
      </x:c>
      <x:c r="T172" s="2" t="str">
        <x:v>官方</x:v>
      </x:c>
      <x:c r="U172" s="2" t="str">
        <x:v>高</x:v>
      </x:c>
      <x:c r="V172" s="27" t="str">
        <x:v>2024年度実施大学院入試 博士前期課程 2025年4月入学試験（2024年8月・2025年2月実施）</x:v>
      </x:c>
      <x:c r="W172" s="27" t="str">
        <x:v>PDF p.1／数理情報学専攻行・第1次欄</x:v>
      </x:c>
      <x:c r="X172" s="27" t="str">
        <x:v>https://www.i.nagoya-u.ac.jp/wp-content/uploads/2018/05/05a0dfb6802945e0bf3e85afa4e246ba.pdf</x:v>
      </x:c>
      <x:c r="Y172" s="27" t="str">
        <x:v>専攻単位の精确値。</x:v>
      </x:c>
      <x:c r="Z172" s="47" t="str">
        <x:v>年度定員と入学者数は年度合計行にのみ記録。</x:v>
      </x:c>
    </x:row>
    <x:row r="173" ht="38" customHeight="1">
      <x:c r="A173" s="2" t="str">
        <x:v>名古屋大学</x:v>
      </x:c>
      <x:c r="B173" s="2" t="str">
        <x:v>情報学研究科</x:v>
      </x:c>
      <x:c r="C173" s="2" t="str">
        <x:v>数理情報学専攻</x:v>
      </x:c>
      <x:c r="D173" s="44" t="n">
        <x:v>2025</x:v>
      </x:c>
      <x:c r="E173" s="27" t="str">
        <x:v>第2次（2月実施）</x:v>
      </x:c>
      <x:c r="F173" s="27" t="str">
        <x:v>博士前期課程</x:v>
      </x:c>
      <x:c r="G173" s="27" t="str">
        <x:v>公表された第2次募集合計</x:v>
      </x:c>
      <x:c r="H173" s="27" t="str">
        <x:v>专攻/系</x:v>
      </x:c>
      <x:c r="I173" s="44"/>
      <x:c r="J173" s="44" t="n">
        <x:v>5</x:v>
      </x:c>
      <x:c r="K173" s="44" t="n">
        <x:v>2</x:v>
      </x:c>
      <x:c r="L173" s="44" t="n">
        <x:v>0</x:v>
      </x:c>
      <x:c r="M173" s="44"/>
      <x:c r="N173" s="45" t="str">
        <x:f>IF(AND(J173&lt;&gt;"",L173&lt;&gt;0),J173/L173,"")</x:f>
      </x:c>
      <x:c r="O173" s="45" t="str">
        <x:f>IF(AND(K173&lt;&gt;"",L173&lt;&gt;0),K173/L173,"")</x:f>
      </x:c>
      <x:c r="P173" s="46" t="str">
        <x:f>IF(AND(K173&lt;&gt;"",K173&lt;&gt;0,L173&lt;&gt;""),L173/K173,"")</x:f>
      </x:c>
      <x:c r="Q173" s="46" t="str">
        <x:f>IF(AND(L173&lt;&gt;"",L173&lt;&gt;0,M173&lt;&gt;""),M173/L173,"")</x:f>
      </x:c>
      <x:c r="R173" s="45" t="str">
        <x:f>IF(N173&lt;&gt;"",N173,IF(O173&lt;&gt;"",O173,""))</x:f>
      </x:c>
      <x:c r="S173" s="2" t="str">
        <x:f>IF(N173&lt;&gt;"","志愿/合格",IF(O173&lt;&gt;"","受验/合格",""))</x:f>
      </x:c>
      <x:c r="T173" s="2" t="str">
        <x:v>官方</x:v>
      </x:c>
      <x:c r="U173" s="2" t="str">
        <x:v>高</x:v>
      </x:c>
      <x:c r="V173" s="27" t="str">
        <x:v>2024年度実施大学院入試 博士前期課程 2025年4月入学試験（2024年8月・2025年2月実施）</x:v>
      </x:c>
      <x:c r="W173" s="27" t="str">
        <x:v>PDF p.1／数理情報学専攻行・第2次欄</x:v>
      </x:c>
      <x:c r="X173" s="27" t="str">
        <x:v>https://www.i.nagoya-u.ac.jp/wp-content/uploads/2018/05/05a0dfb6802945e0bf3e85afa4e246ba.pdf</x:v>
      </x:c>
      <x:c r="Y173" s="27" t="str">
        <x:v>専攻単位の精确値。</x:v>
      </x:c>
      <x:c r="Z173" s="47" t="str">
        <x:v>年度定員と入学者数は年度合計行にのみ記録。</x:v>
      </x:c>
    </x:row>
    <x:row r="174" ht="38" customHeight="1">
      <x:c r="A174" s="2" t="str">
        <x:v>名古屋大学</x:v>
      </x:c>
      <x:c r="B174" s="2" t="str">
        <x:v>情報学研究科</x:v>
      </x:c>
      <x:c r="C174" s="2" t="str">
        <x:v>数理情報学専攻</x:v>
      </x:c>
      <x:c r="D174" s="44" t="n">
        <x:v>2026</x:v>
      </x:c>
      <x:c r="E174" s="27" t="str">
        <x:v>第1次・第2次合計</x:v>
      </x:c>
      <x:c r="F174" s="27" t="str">
        <x:v>博士前期課程</x:v>
      </x:c>
      <x:c r="G174" s="27" t="str">
        <x:v>年度合計</x:v>
      </x:c>
      <x:c r="H174" s="27" t="str">
        <x:v>专攻/系</x:v>
      </x:c>
      <x:c r="I174" s="44" t="n">
        <x:v>14</x:v>
      </x:c>
      <x:c r="J174" s="44" t="n">
        <x:v>42</x:v>
      </x:c>
      <x:c r="K174" s="44" t="n">
        <x:v>40</x:v>
      </x:c>
      <x:c r="L174" s="44" t="n">
        <x:v>21</x:v>
      </x:c>
      <x:c r="M174" s="44" t="n">
        <x:v>17</x:v>
      </x:c>
      <x:c r="N174" s="45" t="n">
        <x:f>IF(AND(J174&lt;&gt;"",L174&lt;&gt;0),J174/L174,"")</x:f>
        <x:v>2</x:v>
      </x:c>
      <x:c r="O174" s="45" t="n">
        <x:f>IF(AND(K174&lt;&gt;"",L174&lt;&gt;0),K174/L174,"")</x:f>
        <x:v>1.9047619047619047</x:v>
      </x:c>
      <x:c r="P174" s="46" t="n">
        <x:f>IF(AND(K174&lt;&gt;"",K174&lt;&gt;0,L174&lt;&gt;""),L174/K174,"")</x:f>
        <x:v>0.525</x:v>
      </x:c>
      <x:c r="Q174" s="46" t="n">
        <x:f>IF(AND(L174&lt;&gt;"",L174&lt;&gt;0,M174&lt;&gt;""),M174/L174,"")</x:f>
        <x:v>0.8095238095238095</x:v>
      </x:c>
      <x:c r="R174" s="45" t="n">
        <x:f>IF(N174&lt;&gt;"",N174,IF(O174&lt;&gt;"",O174,""))</x:f>
        <x:v>2</x:v>
      </x:c>
      <x:c r="S174" s="2" t="str">
        <x:f>IF(N174&lt;&gt;"","志愿/合格",IF(O174&lt;&gt;"","受验/合格",""))</x:f>
        <x:v>志愿/合格</x:v>
      </x:c>
      <x:c r="T174" s="2" t="str">
        <x:v>官方</x:v>
      </x:c>
      <x:c r="U174" s="2" t="str">
        <x:v>高</x:v>
      </x:c>
      <x:c r="V174" s="27" t="str">
        <x:v>2025年度実施大学院入試 博士前期課程 2026年4月入学試験（2025年8月・2026年2月実施）</x:v>
      </x:c>
      <x:c r="W174" s="27" t="str">
        <x:v>PDF p.1／数理情報学専攻行・合計欄</x:v>
      </x:c>
      <x:c r="X174" s="27" t="str">
        <x:v>https://www.i.nagoya-u.ac.jp/wp-content/uploads/2018/05/8b04b626656e26978db091d8329a9e1e.pdf</x:v>
      </x:c>
      <x:c r="Y174" s="27" t="str">
        <x:v>専攻単位の精确値。</x:v>
      </x:c>
      <x:c r="Z174" s="47" t="str">
        <x:v>本行与期别行重复，汇总时不可重复相加。</x:v>
      </x:c>
    </x:row>
    <x:row r="175" ht="38" customHeight="1">
      <x:c r="A175" s="2" t="str">
        <x:v>名古屋大学</x:v>
      </x:c>
      <x:c r="B175" s="2" t="str">
        <x:v>情報学研究科</x:v>
      </x:c>
      <x:c r="C175" s="2" t="str">
        <x:v>数理情報学専攻</x:v>
      </x:c>
      <x:c r="D175" s="44" t="n">
        <x:v>2026</x:v>
      </x:c>
      <x:c r="E175" s="27" t="str">
        <x:v>第1次（8月実施）</x:v>
      </x:c>
      <x:c r="F175" s="27" t="str">
        <x:v>博士前期課程</x:v>
      </x:c>
      <x:c r="G175" s="27" t="str">
        <x:v>公表された第1次募集合計</x:v>
      </x:c>
      <x:c r="H175" s="27" t="str">
        <x:v>专攻/系</x:v>
      </x:c>
      <x:c r="I175" s="44"/>
      <x:c r="J175" s="44" t="n">
        <x:v>36</x:v>
      </x:c>
      <x:c r="K175" s="44" t="n">
        <x:v>34</x:v>
      </x:c>
      <x:c r="L175" s="44" t="n">
        <x:v>19</x:v>
      </x:c>
      <x:c r="M175" s="44"/>
      <x:c r="N175" s="45" t="n">
        <x:f>IF(AND(J175&lt;&gt;"",L175&lt;&gt;0),J175/L175,"")</x:f>
        <x:v>1.894736842105263</x:v>
      </x:c>
      <x:c r="O175" s="45" t="n">
        <x:f>IF(AND(K175&lt;&gt;"",L175&lt;&gt;0),K175/L175,"")</x:f>
        <x:v>1.7894736842105263</x:v>
      </x:c>
      <x:c r="P175" s="46" t="n">
        <x:f>IF(AND(K175&lt;&gt;"",K175&lt;&gt;0,L175&lt;&gt;""),L175/K175,"")</x:f>
        <x:v>0.5588235294117647</x:v>
      </x:c>
      <x:c r="Q175" s="46" t="str">
        <x:f>IF(AND(L175&lt;&gt;"",L175&lt;&gt;0,M175&lt;&gt;""),M175/L175,"")</x:f>
      </x:c>
      <x:c r="R175" s="45" t="n">
        <x:f>IF(N175&lt;&gt;"",N175,IF(O175&lt;&gt;"",O175,""))</x:f>
        <x:v>1.894736842105263</x:v>
      </x:c>
      <x:c r="S175" s="2" t="str">
        <x:f>IF(N175&lt;&gt;"","志愿/合格",IF(O175&lt;&gt;"","受验/合格",""))</x:f>
        <x:v>志愿/合格</x:v>
      </x:c>
      <x:c r="T175" s="2" t="str">
        <x:v>官方</x:v>
      </x:c>
      <x:c r="U175" s="2" t="str">
        <x:v>高</x:v>
      </x:c>
      <x:c r="V175" s="27" t="str">
        <x:v>2025年度実施大学院入試 博士前期課程 2026年4月入学試験（2025年8月・2026年2月実施）</x:v>
      </x:c>
      <x:c r="W175" s="27" t="str">
        <x:v>PDF p.1／数理情報学専攻行・第1次欄</x:v>
      </x:c>
      <x:c r="X175" s="27" t="str">
        <x:v>https://www.i.nagoya-u.ac.jp/wp-content/uploads/2018/05/8b04b626656e26978db091d8329a9e1e.pdf</x:v>
      </x:c>
      <x:c r="Y175" s="27" t="str">
        <x:v>専攻単位の精确値。</x:v>
      </x:c>
      <x:c r="Z175" s="47" t="str">
        <x:v>年度定員と入学者数は年度合計行にのみ記録。</x:v>
      </x:c>
    </x:row>
    <x:row r="176" ht="38" customHeight="1">
      <x:c r="A176" s="2" t="str">
        <x:v>名古屋大学</x:v>
      </x:c>
      <x:c r="B176" s="2" t="str">
        <x:v>情報学研究科</x:v>
      </x:c>
      <x:c r="C176" s="2" t="str">
        <x:v>数理情報学専攻</x:v>
      </x:c>
      <x:c r="D176" s="44" t="n">
        <x:v>2026</x:v>
      </x:c>
      <x:c r="E176" s="27" t="str">
        <x:v>第2次（2月実施）</x:v>
      </x:c>
      <x:c r="F176" s="27" t="str">
        <x:v>博士前期課程</x:v>
      </x:c>
      <x:c r="G176" s="27" t="str">
        <x:v>公表された第2次募集合計</x:v>
      </x:c>
      <x:c r="H176" s="27" t="str">
        <x:v>专攻/系</x:v>
      </x:c>
      <x:c r="I176" s="44"/>
      <x:c r="J176" s="44" t="n">
        <x:v>6</x:v>
      </x:c>
      <x:c r="K176" s="44" t="n">
        <x:v>6</x:v>
      </x:c>
      <x:c r="L176" s="44" t="n">
        <x:v>2</x:v>
      </x:c>
      <x:c r="M176" s="44"/>
      <x:c r="N176" s="45" t="n">
        <x:f>IF(AND(J176&lt;&gt;"",L176&lt;&gt;0),J176/L176,"")</x:f>
        <x:v>3</x:v>
      </x:c>
      <x:c r="O176" s="45" t="n">
        <x:f>IF(AND(K176&lt;&gt;"",L176&lt;&gt;0),K176/L176,"")</x:f>
        <x:v>3</x:v>
      </x:c>
      <x:c r="P176" s="46" t="n">
        <x:f>IF(AND(K176&lt;&gt;"",K176&lt;&gt;0,L176&lt;&gt;""),L176/K176,"")</x:f>
        <x:v>0.3333333333333333</x:v>
      </x:c>
      <x:c r="Q176" s="46" t="str">
        <x:f>IF(AND(L176&lt;&gt;"",L176&lt;&gt;0,M176&lt;&gt;""),M176/L176,"")</x:f>
      </x:c>
      <x:c r="R176" s="45" t="n">
        <x:f>IF(N176&lt;&gt;"",N176,IF(O176&lt;&gt;"",O176,""))</x:f>
        <x:v>3</x:v>
      </x:c>
      <x:c r="S176" s="2" t="str">
        <x:f>IF(N176&lt;&gt;"","志愿/合格",IF(O176&lt;&gt;"","受验/合格",""))</x:f>
        <x:v>志愿/合格</x:v>
      </x:c>
      <x:c r="T176" s="2" t="str">
        <x:v>官方</x:v>
      </x:c>
      <x:c r="U176" s="2" t="str">
        <x:v>高</x:v>
      </x:c>
      <x:c r="V176" s="27" t="str">
        <x:v>2025年度実施大学院入試 博士前期課程 2026年4月入学試験（2025年8月・2026年2月実施）</x:v>
      </x:c>
      <x:c r="W176" s="27" t="str">
        <x:v>PDF p.1／数理情報学専攻行・第2次欄</x:v>
      </x:c>
      <x:c r="X176" s="27" t="str">
        <x:v>https://www.i.nagoya-u.ac.jp/wp-content/uploads/2018/05/8b04b626656e26978db091d8329a9e1e.pdf</x:v>
      </x:c>
      <x:c r="Y176" s="27" t="str">
        <x:v>専攻単位の精确値。</x:v>
      </x:c>
      <x:c r="Z176" s="47" t="str">
        <x:v>年度定員と入学者数は年度合計行にのみ記録。</x:v>
      </x:c>
    </x:row>
    <x:row r="177" ht="38" customHeight="1">
      <x:c r="A177" s="2" t="str">
        <x:v>名古屋大学</x:v>
      </x:c>
      <x:c r="B177" s="2" t="str">
        <x:v>情報学研究科</x:v>
      </x:c>
      <x:c r="C177" s="2" t="str">
        <x:v>知能システム学専攻</x:v>
      </x:c>
      <x:c r="D177" s="44" t="n">
        <x:v>2024</x:v>
      </x:c>
      <x:c r="E177" s="27" t="str">
        <x:v>第1次・第2次合計</x:v>
      </x:c>
      <x:c r="F177" s="27" t="str">
        <x:v>博士前期課程</x:v>
      </x:c>
      <x:c r="G177" s="27" t="str">
        <x:v>年度合計</x:v>
      </x:c>
      <x:c r="H177" s="27" t="str">
        <x:v>专攻/系</x:v>
      </x:c>
      <x:c r="I177" s="44" t="n">
        <x:v>29</x:v>
      </x:c>
      <x:c r="J177" s="44" t="n">
        <x:v>173</x:v>
      </x:c>
      <x:c r="K177" s="44" t="n">
        <x:v>155</x:v>
      </x:c>
      <x:c r="L177" s="44" t="n">
        <x:v>47</x:v>
      </x:c>
      <x:c r="M177" s="44"/>
      <x:c r="N177" s="45" t="n">
        <x:f>IF(AND(J177&lt;&gt;"",L177&lt;&gt;0),J177/L177,"")</x:f>
        <x:v>3.6808510638297873</x:v>
      </x:c>
      <x:c r="O177" s="45" t="n">
        <x:f>IF(AND(K177&lt;&gt;"",L177&lt;&gt;0),K177/L177,"")</x:f>
        <x:v>3.297872340425532</x:v>
      </x:c>
      <x:c r="P177" s="46" t="n">
        <x:f>IF(AND(K177&lt;&gt;"",K177&lt;&gt;0,L177&lt;&gt;""),L177/K177,"")</x:f>
        <x:v>0.3032258064516129</x:v>
      </x:c>
      <x:c r="Q177" s="46" t="str">
        <x:f>IF(AND(L177&lt;&gt;"",L177&lt;&gt;0,M177&lt;&gt;""),M177/L177,"")</x:f>
      </x:c>
      <x:c r="R177" s="45" t="n">
        <x:f>IF(N177&lt;&gt;"",N177,IF(O177&lt;&gt;"",O177,""))</x:f>
        <x:v>3.6808510638297873</x:v>
      </x:c>
      <x:c r="S177" s="2" t="str">
        <x:f>IF(N177&lt;&gt;"","志愿/合格",IF(O177&lt;&gt;"","受验/合格",""))</x:f>
        <x:v>志愿/合格</x:v>
      </x:c>
      <x:c r="T177" s="2" t="str">
        <x:v>官方</x:v>
      </x:c>
      <x:c r="U177" s="2" t="str">
        <x:v>高</x:v>
      </x:c>
      <x:c r="V177" s="27" t="str">
        <x:v>2023年度実施大学院入試 博士前期課程 2024年4月入学試験（2023年8月・2024年2月実施）</x:v>
      </x:c>
      <x:c r="W177" s="27" t="str">
        <x:v>PDF p.1／知能システム学専攻行・合計欄</x:v>
      </x:c>
      <x:c r="X177" s="27" t="str">
        <x:v>https://www.i.nagoya-u.ac.jp/wp-content/uploads/2018/05/da881abcfca5e794e2fcc279de2acd16.pdf</x:v>
      </x:c>
      <x:c r="Y177" s="27" t="str">
        <x:v>専攻単位の精确値。</x:v>
      </x:c>
      <x:c r="Z177" s="47" t="str">
        <x:v>原表未掲載入学者数；本行与期别行重复，汇总时不可重复相加。</x:v>
      </x:c>
    </x:row>
    <x:row r="178" ht="38" customHeight="1">
      <x:c r="A178" s="2" t="str">
        <x:v>名古屋大学</x:v>
      </x:c>
      <x:c r="B178" s="2" t="str">
        <x:v>情報学研究科</x:v>
      </x:c>
      <x:c r="C178" s="2" t="str">
        <x:v>知能システム学専攻</x:v>
      </x:c>
      <x:c r="D178" s="44" t="n">
        <x:v>2024</x:v>
      </x:c>
      <x:c r="E178" s="27" t="str">
        <x:v>第1次（8月実施）</x:v>
      </x:c>
      <x:c r="F178" s="27" t="str">
        <x:v>博士前期課程</x:v>
      </x:c>
      <x:c r="G178" s="27" t="str">
        <x:v>公表された第1次募集合計</x:v>
      </x:c>
      <x:c r="H178" s="27" t="str">
        <x:v>专攻/系</x:v>
      </x:c>
      <x:c r="I178" s="44"/>
      <x:c r="J178" s="44" t="n">
        <x:v>137</x:v>
      </x:c>
      <x:c r="K178" s="44" t="n">
        <x:v>128</x:v>
      </x:c>
      <x:c r="L178" s="44" t="n">
        <x:v>42</x:v>
      </x:c>
      <x:c r="M178" s="44"/>
      <x:c r="N178" s="45" t="n">
        <x:f>IF(AND(J178&lt;&gt;"",L178&lt;&gt;0),J178/L178,"")</x:f>
        <x:v>3.261904761904762</x:v>
      </x:c>
      <x:c r="O178" s="45" t="n">
        <x:f>IF(AND(K178&lt;&gt;"",L178&lt;&gt;0),K178/L178,"")</x:f>
        <x:v>3.0476190476190474</x:v>
      </x:c>
      <x:c r="P178" s="46" t="n">
        <x:f>IF(AND(K178&lt;&gt;"",K178&lt;&gt;0,L178&lt;&gt;""),L178/K178,"")</x:f>
        <x:v>0.328125</x:v>
      </x:c>
      <x:c r="Q178" s="46" t="str">
        <x:f>IF(AND(L178&lt;&gt;"",L178&lt;&gt;0,M178&lt;&gt;""),M178/L178,"")</x:f>
      </x:c>
      <x:c r="R178" s="45" t="n">
        <x:f>IF(N178&lt;&gt;"",N178,IF(O178&lt;&gt;"",O178,""))</x:f>
        <x:v>3.261904761904762</x:v>
      </x:c>
      <x:c r="S178" s="2" t="str">
        <x:f>IF(N178&lt;&gt;"","志愿/合格",IF(O178&lt;&gt;"","受验/合格",""))</x:f>
        <x:v>志愿/合格</x:v>
      </x:c>
      <x:c r="T178" s="2" t="str">
        <x:v>官方</x:v>
      </x:c>
      <x:c r="U178" s="2" t="str">
        <x:v>高</x:v>
      </x:c>
      <x:c r="V178" s="27" t="str">
        <x:v>2023年度実施大学院入試 博士前期課程 2024年4月入学試験（2023年8月・2024年2月実施）</x:v>
      </x:c>
      <x:c r="W178" s="27" t="str">
        <x:v>PDF p.1／知能システム学専攻行・第1次欄</x:v>
      </x:c>
      <x:c r="X178" s="27" t="str">
        <x:v>https://www.i.nagoya-u.ac.jp/wp-content/uploads/2018/05/da881abcfca5e794e2fcc279de2acd16.pdf</x:v>
      </x:c>
      <x:c r="Y178" s="27" t="str">
        <x:v>専攻単位の精确値。</x:v>
      </x:c>
      <x:c r="Z178" s="47" t="str">
        <x:v>年度定員と入学者数は年度合計行にのみ記録。</x:v>
      </x:c>
    </x:row>
    <x:row r="179" ht="38" customHeight="1">
      <x:c r="A179" s="2" t="str">
        <x:v>名古屋大学</x:v>
      </x:c>
      <x:c r="B179" s="2" t="str">
        <x:v>情報学研究科</x:v>
      </x:c>
      <x:c r="C179" s="2" t="str">
        <x:v>知能システム学専攻</x:v>
      </x:c>
      <x:c r="D179" s="44" t="n">
        <x:v>2024</x:v>
      </x:c>
      <x:c r="E179" s="27" t="str">
        <x:v>第2次（2月実施）</x:v>
      </x:c>
      <x:c r="F179" s="27" t="str">
        <x:v>博士前期課程</x:v>
      </x:c>
      <x:c r="G179" s="27" t="str">
        <x:v>公表された第2次募集合計</x:v>
      </x:c>
      <x:c r="H179" s="27" t="str">
        <x:v>专攻/系</x:v>
      </x:c>
      <x:c r="I179" s="44"/>
      <x:c r="J179" s="44" t="n">
        <x:v>36</x:v>
      </x:c>
      <x:c r="K179" s="44" t="n">
        <x:v>27</x:v>
      </x:c>
      <x:c r="L179" s="44" t="n">
        <x:v>5</x:v>
      </x:c>
      <x:c r="M179" s="44"/>
      <x:c r="N179" s="45" t="n">
        <x:f>IF(AND(J179&lt;&gt;"",L179&lt;&gt;0),J179/L179,"")</x:f>
        <x:v>7.2</x:v>
      </x:c>
      <x:c r="O179" s="45" t="n">
        <x:f>IF(AND(K179&lt;&gt;"",L179&lt;&gt;0),K179/L179,"")</x:f>
        <x:v>5.4</x:v>
      </x:c>
      <x:c r="P179" s="46" t="n">
        <x:f>IF(AND(K179&lt;&gt;"",K179&lt;&gt;0,L179&lt;&gt;""),L179/K179,"")</x:f>
        <x:v>0.18518518518518517</x:v>
      </x:c>
      <x:c r="Q179" s="46" t="str">
        <x:f>IF(AND(L179&lt;&gt;"",L179&lt;&gt;0,M179&lt;&gt;""),M179/L179,"")</x:f>
      </x:c>
      <x:c r="R179" s="45" t="n">
        <x:f>IF(N179&lt;&gt;"",N179,IF(O179&lt;&gt;"",O179,""))</x:f>
        <x:v>7.2</x:v>
      </x:c>
      <x:c r="S179" s="2" t="str">
        <x:f>IF(N179&lt;&gt;"","志愿/合格",IF(O179&lt;&gt;"","受验/合格",""))</x:f>
        <x:v>志愿/合格</x:v>
      </x:c>
      <x:c r="T179" s="2" t="str">
        <x:v>官方</x:v>
      </x:c>
      <x:c r="U179" s="2" t="str">
        <x:v>高</x:v>
      </x:c>
      <x:c r="V179" s="27" t="str">
        <x:v>2023年度実施大学院入試 博士前期課程 2024年4月入学試験（2023年8月・2024年2月実施）</x:v>
      </x:c>
      <x:c r="W179" s="27" t="str">
        <x:v>PDF p.1／知能システム学専攻行・第2次欄</x:v>
      </x:c>
      <x:c r="X179" s="27" t="str">
        <x:v>https://www.i.nagoya-u.ac.jp/wp-content/uploads/2018/05/da881abcfca5e794e2fcc279de2acd16.pdf</x:v>
      </x:c>
      <x:c r="Y179" s="27" t="str">
        <x:v>専攻単位の精确値。</x:v>
      </x:c>
      <x:c r="Z179" s="47" t="str">
        <x:v>年度定員と入学者数は年度合計行にのみ記録。</x:v>
      </x:c>
    </x:row>
    <x:row r="180" ht="38" customHeight="1">
      <x:c r="A180" s="2" t="str">
        <x:v>名古屋大学</x:v>
      </x:c>
      <x:c r="B180" s="2" t="str">
        <x:v>情報学研究科</x:v>
      </x:c>
      <x:c r="C180" s="2" t="str">
        <x:v>知能システム学専攻</x:v>
      </x:c>
      <x:c r="D180" s="44" t="n">
        <x:v>2025</x:v>
      </x:c>
      <x:c r="E180" s="27" t="str">
        <x:v>第1次・第2次合計</x:v>
      </x:c>
      <x:c r="F180" s="27" t="str">
        <x:v>博士前期課程</x:v>
      </x:c>
      <x:c r="G180" s="27" t="str">
        <x:v>年度合計</x:v>
      </x:c>
      <x:c r="H180" s="27" t="str">
        <x:v>专攻/系</x:v>
      </x:c>
      <x:c r="I180" s="44" t="n">
        <x:v>40</x:v>
      </x:c>
      <x:c r="J180" s="44" t="n">
        <x:v>124</x:v>
      </x:c>
      <x:c r="K180" s="44" t="n">
        <x:v>109</x:v>
      </x:c>
      <x:c r="L180" s="44" t="n">
        <x:v>52</x:v>
      </x:c>
      <x:c r="M180" s="44" t="n">
        <x:v>45</x:v>
      </x:c>
      <x:c r="N180" s="45" t="n">
        <x:f>IF(AND(J180&lt;&gt;"",L180&lt;&gt;0),J180/L180,"")</x:f>
        <x:v>2.3846153846153846</x:v>
      </x:c>
      <x:c r="O180" s="45" t="n">
        <x:f>IF(AND(K180&lt;&gt;"",L180&lt;&gt;0),K180/L180,"")</x:f>
        <x:v>2.0961538461538463</x:v>
      </x:c>
      <x:c r="P180" s="46" t="n">
        <x:f>IF(AND(K180&lt;&gt;"",K180&lt;&gt;0,L180&lt;&gt;""),L180/K180,"")</x:f>
        <x:v>0.47706422018348627</x:v>
      </x:c>
      <x:c r="Q180" s="46" t="n">
        <x:f>IF(AND(L180&lt;&gt;"",L180&lt;&gt;0,M180&lt;&gt;""),M180/L180,"")</x:f>
        <x:v>0.8653846153846154</x:v>
      </x:c>
      <x:c r="R180" s="45" t="n">
        <x:f>IF(N180&lt;&gt;"",N180,IF(O180&lt;&gt;"",O180,""))</x:f>
        <x:v>2.3846153846153846</x:v>
      </x:c>
      <x:c r="S180" s="2" t="str">
        <x:f>IF(N180&lt;&gt;"","志愿/合格",IF(O180&lt;&gt;"","受验/合格",""))</x:f>
        <x:v>志愿/合格</x:v>
      </x:c>
      <x:c r="T180" s="2" t="str">
        <x:v>官方</x:v>
      </x:c>
      <x:c r="U180" s="2" t="str">
        <x:v>高</x:v>
      </x:c>
      <x:c r="V180" s="27" t="str">
        <x:v>2024年度実施大学院入試 博士前期課程 2025年4月入学試験（2024年8月・2025年2月実施）</x:v>
      </x:c>
      <x:c r="W180" s="27" t="str">
        <x:v>PDF p.1／知能システム学専攻行・合計欄</x:v>
      </x:c>
      <x:c r="X180" s="27" t="str">
        <x:v>https://www.i.nagoya-u.ac.jp/wp-content/uploads/2018/05/05a0dfb6802945e0bf3e85afa4e246ba.pdf</x:v>
      </x:c>
      <x:c r="Y180" s="27" t="str">
        <x:v>専攻単位の精确値。</x:v>
      </x:c>
      <x:c r="Z180" s="47" t="str">
        <x:v>本行与期别行重复，汇总时不可重复相加。</x:v>
      </x:c>
    </x:row>
    <x:row r="181" ht="38" customHeight="1">
      <x:c r="A181" s="2" t="str">
        <x:v>名古屋大学</x:v>
      </x:c>
      <x:c r="B181" s="2" t="str">
        <x:v>情報学研究科</x:v>
      </x:c>
      <x:c r="C181" s="2" t="str">
        <x:v>知能システム学専攻</x:v>
      </x:c>
      <x:c r="D181" s="44" t="n">
        <x:v>2025</x:v>
      </x:c>
      <x:c r="E181" s="27" t="str">
        <x:v>第1次（8月実施）</x:v>
      </x:c>
      <x:c r="F181" s="27" t="str">
        <x:v>博士前期課程</x:v>
      </x:c>
      <x:c r="G181" s="27" t="str">
        <x:v>公表された第1次募集合計</x:v>
      </x:c>
      <x:c r="H181" s="27" t="str">
        <x:v>专攻/系</x:v>
      </x:c>
      <x:c r="I181" s="44"/>
      <x:c r="J181" s="44" t="n">
        <x:v>100</x:v>
      </x:c>
      <x:c r="K181" s="44" t="n">
        <x:v>87</x:v>
      </x:c>
      <x:c r="L181" s="44" t="n">
        <x:v>44</x:v>
      </x:c>
      <x:c r="M181" s="44"/>
      <x:c r="N181" s="45" t="n">
        <x:f>IF(AND(J181&lt;&gt;"",L181&lt;&gt;0),J181/L181,"")</x:f>
        <x:v>2.272727272727273</x:v>
      </x:c>
      <x:c r="O181" s="45" t="n">
        <x:f>IF(AND(K181&lt;&gt;"",L181&lt;&gt;0),K181/L181,"")</x:f>
        <x:v>1.9772727272727273</x:v>
      </x:c>
      <x:c r="P181" s="46" t="n">
        <x:f>IF(AND(K181&lt;&gt;"",K181&lt;&gt;0,L181&lt;&gt;""),L181/K181,"")</x:f>
        <x:v>0.5057471264367817</x:v>
      </x:c>
      <x:c r="Q181" s="46" t="str">
        <x:f>IF(AND(L181&lt;&gt;"",L181&lt;&gt;0,M181&lt;&gt;""),M181/L181,"")</x:f>
      </x:c>
      <x:c r="R181" s="45" t="n">
        <x:f>IF(N181&lt;&gt;"",N181,IF(O181&lt;&gt;"",O181,""))</x:f>
        <x:v>2.272727272727273</x:v>
      </x:c>
      <x:c r="S181" s="2" t="str">
        <x:f>IF(N181&lt;&gt;"","志愿/合格",IF(O181&lt;&gt;"","受验/合格",""))</x:f>
        <x:v>志愿/合格</x:v>
      </x:c>
      <x:c r="T181" s="2" t="str">
        <x:v>官方</x:v>
      </x:c>
      <x:c r="U181" s="2" t="str">
        <x:v>高</x:v>
      </x:c>
      <x:c r="V181" s="27" t="str">
        <x:v>2024年度実施大学院入試 博士前期課程 2025年4月入学試験（2024年8月・2025年2月実施）</x:v>
      </x:c>
      <x:c r="W181" s="27" t="str">
        <x:v>PDF p.1／知能システム学専攻行・第1次欄</x:v>
      </x:c>
      <x:c r="X181" s="27" t="str">
        <x:v>https://www.i.nagoya-u.ac.jp/wp-content/uploads/2018/05/05a0dfb6802945e0bf3e85afa4e246ba.pdf</x:v>
      </x:c>
      <x:c r="Y181" s="27" t="str">
        <x:v>専攻単位の精确値。</x:v>
      </x:c>
      <x:c r="Z181" s="47" t="str">
        <x:v>年度定員と入学者数は年度合計行にのみ記録。</x:v>
      </x:c>
    </x:row>
    <x:row r="182" ht="38" customHeight="1">
      <x:c r="A182" s="2" t="str">
        <x:v>名古屋大学</x:v>
      </x:c>
      <x:c r="B182" s="2" t="str">
        <x:v>情報学研究科</x:v>
      </x:c>
      <x:c r="C182" s="2" t="str">
        <x:v>知能システム学専攻</x:v>
      </x:c>
      <x:c r="D182" s="44" t="n">
        <x:v>2025</x:v>
      </x:c>
      <x:c r="E182" s="27" t="str">
        <x:v>第2次（2月実施）</x:v>
      </x:c>
      <x:c r="F182" s="27" t="str">
        <x:v>博士前期課程</x:v>
      </x:c>
      <x:c r="G182" s="27" t="str">
        <x:v>公表された第2次募集合計</x:v>
      </x:c>
      <x:c r="H182" s="27" t="str">
        <x:v>专攻/系</x:v>
      </x:c>
      <x:c r="I182" s="44"/>
      <x:c r="J182" s="44" t="n">
        <x:v>24</x:v>
      </x:c>
      <x:c r="K182" s="44" t="n">
        <x:v>22</x:v>
      </x:c>
      <x:c r="L182" s="44" t="n">
        <x:v>8</x:v>
      </x:c>
      <x:c r="M182" s="44"/>
      <x:c r="N182" s="45" t="n">
        <x:f>IF(AND(J182&lt;&gt;"",L182&lt;&gt;0),J182/L182,"")</x:f>
        <x:v>3</x:v>
      </x:c>
      <x:c r="O182" s="45" t="n">
        <x:f>IF(AND(K182&lt;&gt;"",L182&lt;&gt;0),K182/L182,"")</x:f>
        <x:v>2.75</x:v>
      </x:c>
      <x:c r="P182" s="46" t="n">
        <x:f>IF(AND(K182&lt;&gt;"",K182&lt;&gt;0,L182&lt;&gt;""),L182/K182,"")</x:f>
        <x:v>0.36363636363636365</x:v>
      </x:c>
      <x:c r="Q182" s="46" t="str">
        <x:f>IF(AND(L182&lt;&gt;"",L182&lt;&gt;0,M182&lt;&gt;""),M182/L182,"")</x:f>
      </x:c>
      <x:c r="R182" s="45" t="n">
        <x:f>IF(N182&lt;&gt;"",N182,IF(O182&lt;&gt;"",O182,""))</x:f>
        <x:v>3</x:v>
      </x:c>
      <x:c r="S182" s="2" t="str">
        <x:f>IF(N182&lt;&gt;"","志愿/合格",IF(O182&lt;&gt;"","受验/合格",""))</x:f>
        <x:v>志愿/合格</x:v>
      </x:c>
      <x:c r="T182" s="2" t="str">
        <x:v>官方</x:v>
      </x:c>
      <x:c r="U182" s="2" t="str">
        <x:v>高</x:v>
      </x:c>
      <x:c r="V182" s="27" t="str">
        <x:v>2024年度実施大学院入試 博士前期課程 2025年4月入学試験（2024年8月・2025年2月実施）</x:v>
      </x:c>
      <x:c r="W182" s="27" t="str">
        <x:v>PDF p.1／知能システム学専攻行・第2次欄</x:v>
      </x:c>
      <x:c r="X182" s="27" t="str">
        <x:v>https://www.i.nagoya-u.ac.jp/wp-content/uploads/2018/05/05a0dfb6802945e0bf3e85afa4e246ba.pdf</x:v>
      </x:c>
      <x:c r="Y182" s="27" t="str">
        <x:v>専攻単位の精确値。</x:v>
      </x:c>
      <x:c r="Z182" s="47" t="str">
        <x:v>年度定員と入学者数は年度合計行にのみ記録。</x:v>
      </x:c>
    </x:row>
    <x:row r="183" ht="38" customHeight="1">
      <x:c r="A183" s="2" t="str">
        <x:v>名古屋大学</x:v>
      </x:c>
      <x:c r="B183" s="2" t="str">
        <x:v>情報学研究科</x:v>
      </x:c>
      <x:c r="C183" s="2" t="str">
        <x:v>知能システム学専攻</x:v>
      </x:c>
      <x:c r="D183" s="44" t="n">
        <x:v>2026</x:v>
      </x:c>
      <x:c r="E183" s="27" t="str">
        <x:v>第1次・第2次合計</x:v>
      </x:c>
      <x:c r="F183" s="27" t="str">
        <x:v>博士前期課程</x:v>
      </x:c>
      <x:c r="G183" s="27" t="str">
        <x:v>年度合計</x:v>
      </x:c>
      <x:c r="H183" s="27" t="str">
        <x:v>专攻/系</x:v>
      </x:c>
      <x:c r="I183" s="44" t="n">
        <x:v>40</x:v>
      </x:c>
      <x:c r="J183" s="44" t="n">
        <x:v>182</x:v>
      </x:c>
      <x:c r="K183" s="44" t="n">
        <x:v>157</x:v>
      </x:c>
      <x:c r="L183" s="44" t="n">
        <x:v>53</x:v>
      </x:c>
      <x:c r="M183" s="44" t="n">
        <x:v>45</x:v>
      </x:c>
      <x:c r="N183" s="45" t="n">
        <x:f>IF(AND(J183&lt;&gt;"",L183&lt;&gt;0),J183/L183,"")</x:f>
        <x:v>3.4339622641509435</x:v>
      </x:c>
      <x:c r="O183" s="45" t="n">
        <x:f>IF(AND(K183&lt;&gt;"",L183&lt;&gt;0),K183/L183,"")</x:f>
        <x:v>2.9622641509433962</x:v>
      </x:c>
      <x:c r="P183" s="46" t="n">
        <x:f>IF(AND(K183&lt;&gt;"",K183&lt;&gt;0,L183&lt;&gt;""),L183/K183,"")</x:f>
        <x:v>0.3375796178343949</x:v>
      </x:c>
      <x:c r="Q183" s="46" t="n">
        <x:f>IF(AND(L183&lt;&gt;"",L183&lt;&gt;0,M183&lt;&gt;""),M183/L183,"")</x:f>
        <x:v>0.8490566037735849</x:v>
      </x:c>
      <x:c r="R183" s="45" t="n">
        <x:f>IF(N183&lt;&gt;"",N183,IF(O183&lt;&gt;"",O183,""))</x:f>
        <x:v>3.4339622641509435</x:v>
      </x:c>
      <x:c r="S183" s="2" t="str">
        <x:f>IF(N183&lt;&gt;"","志愿/合格",IF(O183&lt;&gt;"","受验/合格",""))</x:f>
        <x:v>志愿/合格</x:v>
      </x:c>
      <x:c r="T183" s="2" t="str">
        <x:v>官方</x:v>
      </x:c>
      <x:c r="U183" s="2" t="str">
        <x:v>高</x:v>
      </x:c>
      <x:c r="V183" s="27" t="str">
        <x:v>2025年度実施大学院入試 博士前期課程 2026年4月入学試験（2025年8月・2026年2月実施）</x:v>
      </x:c>
      <x:c r="W183" s="27" t="str">
        <x:v>PDF p.1／知能システム学専攻行・合計欄</x:v>
      </x:c>
      <x:c r="X183" s="27" t="str">
        <x:v>https://www.i.nagoya-u.ac.jp/wp-content/uploads/2018/05/8b04b626656e26978db091d8329a9e1e.pdf</x:v>
      </x:c>
      <x:c r="Y183" s="27" t="str">
        <x:v>専攻単位の精确値。</x:v>
      </x:c>
      <x:c r="Z183" s="47" t="str">
        <x:v>本行与期别行重复，汇总时不可重复相加。</x:v>
      </x:c>
    </x:row>
    <x:row r="184" ht="38" customHeight="1">
      <x:c r="A184" s="2" t="str">
        <x:v>名古屋大学</x:v>
      </x:c>
      <x:c r="B184" s="2" t="str">
        <x:v>情報学研究科</x:v>
      </x:c>
      <x:c r="C184" s="2" t="str">
        <x:v>知能システム学専攻</x:v>
      </x:c>
      <x:c r="D184" s="44" t="n">
        <x:v>2026</x:v>
      </x:c>
      <x:c r="E184" s="27" t="str">
        <x:v>第1次（8月実施）</x:v>
      </x:c>
      <x:c r="F184" s="27" t="str">
        <x:v>博士前期課程</x:v>
      </x:c>
      <x:c r="G184" s="27" t="str">
        <x:v>公表された第1次募集合計</x:v>
      </x:c>
      <x:c r="H184" s="27" t="str">
        <x:v>专攻/系</x:v>
      </x:c>
      <x:c r="I184" s="44"/>
      <x:c r="J184" s="44" t="n">
        <x:v>147</x:v>
      </x:c>
      <x:c r="K184" s="44" t="n">
        <x:v>128</x:v>
      </x:c>
      <x:c r="L184" s="44" t="n">
        <x:v>45</x:v>
      </x:c>
      <x:c r="M184" s="44"/>
      <x:c r="N184" s="45" t="n">
        <x:f>IF(AND(J184&lt;&gt;"",L184&lt;&gt;0),J184/L184,"")</x:f>
        <x:v>3.2666666666666666</x:v>
      </x:c>
      <x:c r="O184" s="45" t="n">
        <x:f>IF(AND(K184&lt;&gt;"",L184&lt;&gt;0),K184/L184,"")</x:f>
        <x:v>2.8444444444444446</x:v>
      </x:c>
      <x:c r="P184" s="46" t="n">
        <x:f>IF(AND(K184&lt;&gt;"",K184&lt;&gt;0,L184&lt;&gt;""),L184/K184,"")</x:f>
        <x:v>0.3515625</x:v>
      </x:c>
      <x:c r="Q184" s="46" t="str">
        <x:f>IF(AND(L184&lt;&gt;"",L184&lt;&gt;0,M184&lt;&gt;""),M184/L184,"")</x:f>
      </x:c>
      <x:c r="R184" s="45" t="n">
        <x:f>IF(N184&lt;&gt;"",N184,IF(O184&lt;&gt;"",O184,""))</x:f>
        <x:v>3.2666666666666666</x:v>
      </x:c>
      <x:c r="S184" s="2" t="str">
        <x:f>IF(N184&lt;&gt;"","志愿/合格",IF(O184&lt;&gt;"","受验/合格",""))</x:f>
        <x:v>志愿/合格</x:v>
      </x:c>
      <x:c r="T184" s="2" t="str">
        <x:v>官方</x:v>
      </x:c>
      <x:c r="U184" s="2" t="str">
        <x:v>高</x:v>
      </x:c>
      <x:c r="V184" s="27" t="str">
        <x:v>2025年度実施大学院入試 博士前期課程 2026年4月入学試験（2025年8月・2026年2月実施）</x:v>
      </x:c>
      <x:c r="W184" s="27" t="str">
        <x:v>PDF p.1／知能システム学専攻行・第1次欄</x:v>
      </x:c>
      <x:c r="X184" s="27" t="str">
        <x:v>https://www.i.nagoya-u.ac.jp/wp-content/uploads/2018/05/8b04b626656e26978db091d8329a9e1e.pdf</x:v>
      </x:c>
      <x:c r="Y184" s="27" t="str">
        <x:v>専攻単位の精确値。</x:v>
      </x:c>
      <x:c r="Z184" s="47" t="str">
        <x:v>年度定員と入学者数は年度合計行にのみ記録。</x:v>
      </x:c>
    </x:row>
    <x:row r="185" ht="38" customHeight="1">
      <x:c r="A185" s="2" t="str">
        <x:v>名古屋大学</x:v>
      </x:c>
      <x:c r="B185" s="2" t="str">
        <x:v>情報学研究科</x:v>
      </x:c>
      <x:c r="C185" s="2" t="str">
        <x:v>知能システム学専攻</x:v>
      </x:c>
      <x:c r="D185" s="44" t="n">
        <x:v>2026</x:v>
      </x:c>
      <x:c r="E185" s="27" t="str">
        <x:v>第2次（2月実施）</x:v>
      </x:c>
      <x:c r="F185" s="27" t="str">
        <x:v>博士前期課程</x:v>
      </x:c>
      <x:c r="G185" s="27" t="str">
        <x:v>公表された第2次募集合計</x:v>
      </x:c>
      <x:c r="H185" s="27" t="str">
        <x:v>专攻/系</x:v>
      </x:c>
      <x:c r="I185" s="44"/>
      <x:c r="J185" s="44" t="n">
        <x:v>35</x:v>
      </x:c>
      <x:c r="K185" s="44" t="n">
        <x:v>29</x:v>
      </x:c>
      <x:c r="L185" s="44" t="n">
        <x:v>8</x:v>
      </x:c>
      <x:c r="M185" s="44"/>
      <x:c r="N185" s="45" t="n">
        <x:f>IF(AND(J185&lt;&gt;"",L185&lt;&gt;0),J185/L185,"")</x:f>
        <x:v>4.375</x:v>
      </x:c>
      <x:c r="O185" s="45" t="n">
        <x:f>IF(AND(K185&lt;&gt;"",L185&lt;&gt;0),K185/L185,"")</x:f>
        <x:v>3.625</x:v>
      </x:c>
      <x:c r="P185" s="46" t="n">
        <x:f>IF(AND(K185&lt;&gt;"",K185&lt;&gt;0,L185&lt;&gt;""),L185/K185,"")</x:f>
        <x:v>0.27586206896551724</x:v>
      </x:c>
      <x:c r="Q185" s="46" t="str">
        <x:f>IF(AND(L185&lt;&gt;"",L185&lt;&gt;0,M185&lt;&gt;""),M185/L185,"")</x:f>
      </x:c>
      <x:c r="R185" s="45" t="n">
        <x:f>IF(N185&lt;&gt;"",N185,IF(O185&lt;&gt;"",O185,""))</x:f>
        <x:v>4.375</x:v>
      </x:c>
      <x:c r="S185" s="2" t="str">
        <x:f>IF(N185&lt;&gt;"","志愿/合格",IF(O185&lt;&gt;"","受验/合格",""))</x:f>
        <x:v>志愿/合格</x:v>
      </x:c>
      <x:c r="T185" s="2" t="str">
        <x:v>官方</x:v>
      </x:c>
      <x:c r="U185" s="2" t="str">
        <x:v>高</x:v>
      </x:c>
      <x:c r="V185" s="27" t="str">
        <x:v>2025年度実施大学院入試 博士前期課程 2026年4月入学試験（2025年8月・2026年2月実施）</x:v>
      </x:c>
      <x:c r="W185" s="27" t="str">
        <x:v>PDF p.1／知能システム学専攻行・第2次欄</x:v>
      </x:c>
      <x:c r="X185" s="27" t="str">
        <x:v>https://www.i.nagoya-u.ac.jp/wp-content/uploads/2018/05/8b04b626656e26978db091d8329a9e1e.pdf</x:v>
      </x:c>
      <x:c r="Y185" s="27" t="str">
        <x:v>専攻単位の精确値。</x:v>
      </x:c>
      <x:c r="Z185" s="47" t="str">
        <x:v>年度定員と入学者数は年度合計行にのみ記録。</x:v>
      </x:c>
    </x:row>
    <x:row r="186" ht="38" customHeight="1">
      <x:c r="A186" s="2" t="str">
        <x:v>名古屋大学</x:v>
      </x:c>
      <x:c r="B186" s="2" t="str">
        <x:v>情報学研究科</x:v>
      </x:c>
      <x:c r="C186" s="2" t="str">
        <x:v>複雑系科学専攻</x:v>
      </x:c>
      <x:c r="D186" s="44" t="n">
        <x:v>2024</x:v>
      </x:c>
      <x:c r="E186" s="27" t="str">
        <x:v>第1次・第2次合計</x:v>
      </x:c>
      <x:c r="F186" s="27" t="str">
        <x:v>博士前期課程</x:v>
      </x:c>
      <x:c r="G186" s="27" t="str">
        <x:v>年度合計</x:v>
      </x:c>
      <x:c r="H186" s="27" t="str">
        <x:v>专攻/系</x:v>
      </x:c>
      <x:c r="I186" s="44" t="n">
        <x:v>36</x:v>
      </x:c>
      <x:c r="J186" s="44" t="n">
        <x:v>106</x:v>
      </x:c>
      <x:c r="K186" s="44" t="n">
        <x:v>96</x:v>
      </x:c>
      <x:c r="L186" s="44" t="n">
        <x:v>50</x:v>
      </x:c>
      <x:c r="M186" s="44"/>
      <x:c r="N186" s="45" t="n">
        <x:f>IF(AND(J186&lt;&gt;"",L186&lt;&gt;0),J186/L186,"")</x:f>
        <x:v>2.12</x:v>
      </x:c>
      <x:c r="O186" s="45" t="n">
        <x:f>IF(AND(K186&lt;&gt;"",L186&lt;&gt;0),K186/L186,"")</x:f>
        <x:v>1.92</x:v>
      </x:c>
      <x:c r="P186" s="46" t="n">
        <x:f>IF(AND(K186&lt;&gt;"",K186&lt;&gt;0,L186&lt;&gt;""),L186/K186,"")</x:f>
        <x:v>0.5208333333333334</x:v>
      </x:c>
      <x:c r="Q186" s="46" t="str">
        <x:f>IF(AND(L186&lt;&gt;"",L186&lt;&gt;0,M186&lt;&gt;""),M186/L186,"")</x:f>
      </x:c>
      <x:c r="R186" s="45" t="n">
        <x:f>IF(N186&lt;&gt;"",N186,IF(O186&lt;&gt;"",O186,""))</x:f>
        <x:v>2.12</x:v>
      </x:c>
      <x:c r="S186" s="2" t="str">
        <x:f>IF(N186&lt;&gt;"","志愿/合格",IF(O186&lt;&gt;"","受验/合格",""))</x:f>
        <x:v>志愿/合格</x:v>
      </x:c>
      <x:c r="T186" s="2" t="str">
        <x:v>官方</x:v>
      </x:c>
      <x:c r="U186" s="2" t="str">
        <x:v>高</x:v>
      </x:c>
      <x:c r="V186" s="27" t="str">
        <x:v>2023年度実施大学院入試 博士前期課程 2024年4月入学試験（2023年8月・2024年2月実施）</x:v>
      </x:c>
      <x:c r="W186" s="27" t="str">
        <x:v>PDF p.1／複雑系科学専攻行・合計欄</x:v>
      </x:c>
      <x:c r="X186" s="27" t="str">
        <x:v>https://www.i.nagoya-u.ac.jp/wp-content/uploads/2018/05/da881abcfca5e794e2fcc279de2acd16.pdf</x:v>
      </x:c>
      <x:c r="Y186" s="27" t="str">
        <x:v>専攻単位の精确値。</x:v>
      </x:c>
      <x:c r="Z186" s="47" t="str">
        <x:v>原表未掲載入学者数；本行与期别行重复，汇总时不可重复相加。</x:v>
      </x:c>
    </x:row>
    <x:row r="187" ht="38" customHeight="1">
      <x:c r="A187" s="2" t="str">
        <x:v>名古屋大学</x:v>
      </x:c>
      <x:c r="B187" s="2" t="str">
        <x:v>情報学研究科</x:v>
      </x:c>
      <x:c r="C187" s="2" t="str">
        <x:v>複雑系科学専攻</x:v>
      </x:c>
      <x:c r="D187" s="44" t="n">
        <x:v>2024</x:v>
      </x:c>
      <x:c r="E187" s="27" t="str">
        <x:v>第1次（8月実施）</x:v>
      </x:c>
      <x:c r="F187" s="27" t="str">
        <x:v>博士前期課程</x:v>
      </x:c>
      <x:c r="G187" s="27" t="str">
        <x:v>公表された第1次募集合計</x:v>
      </x:c>
      <x:c r="H187" s="27" t="str">
        <x:v>专攻/系</x:v>
      </x:c>
      <x:c r="I187" s="44"/>
      <x:c r="J187" s="44" t="n">
        <x:v>81</x:v>
      </x:c>
      <x:c r="K187" s="44" t="n">
        <x:v>75</x:v>
      </x:c>
      <x:c r="L187" s="44" t="n">
        <x:v>37</x:v>
      </x:c>
      <x:c r="M187" s="44"/>
      <x:c r="N187" s="45" t="n">
        <x:f>IF(AND(J187&lt;&gt;"",L187&lt;&gt;0),J187/L187,"")</x:f>
        <x:v>2.189189189189189</x:v>
      </x:c>
      <x:c r="O187" s="45" t="n">
        <x:f>IF(AND(K187&lt;&gt;"",L187&lt;&gt;0),K187/L187,"")</x:f>
        <x:v>2.027027027027027</x:v>
      </x:c>
      <x:c r="P187" s="46" t="n">
        <x:f>IF(AND(K187&lt;&gt;"",K187&lt;&gt;0,L187&lt;&gt;""),L187/K187,"")</x:f>
        <x:v>0.49333333333333335</x:v>
      </x:c>
      <x:c r="Q187" s="46" t="str">
        <x:f>IF(AND(L187&lt;&gt;"",L187&lt;&gt;0,M187&lt;&gt;""),M187/L187,"")</x:f>
      </x:c>
      <x:c r="R187" s="45" t="n">
        <x:f>IF(N187&lt;&gt;"",N187,IF(O187&lt;&gt;"",O187,""))</x:f>
        <x:v>2.189189189189189</x:v>
      </x:c>
      <x:c r="S187" s="2" t="str">
        <x:f>IF(N187&lt;&gt;"","志愿/合格",IF(O187&lt;&gt;"","受验/合格",""))</x:f>
        <x:v>志愿/合格</x:v>
      </x:c>
      <x:c r="T187" s="2" t="str">
        <x:v>官方</x:v>
      </x:c>
      <x:c r="U187" s="2" t="str">
        <x:v>高</x:v>
      </x:c>
      <x:c r="V187" s="27" t="str">
        <x:v>2023年度実施大学院入試 博士前期課程 2024年4月入学試験（2023年8月・2024年2月実施）</x:v>
      </x:c>
      <x:c r="W187" s="27" t="str">
        <x:v>PDF p.1／複雑系科学専攻行・第1次欄</x:v>
      </x:c>
      <x:c r="X187" s="27" t="str">
        <x:v>https://www.i.nagoya-u.ac.jp/wp-content/uploads/2018/05/da881abcfca5e794e2fcc279de2acd16.pdf</x:v>
      </x:c>
      <x:c r="Y187" s="27" t="str">
        <x:v>専攻単位の精确値。</x:v>
      </x:c>
      <x:c r="Z187" s="47" t="str">
        <x:v>年度定員と入学者数は年度合計行にのみ記録。</x:v>
      </x:c>
    </x:row>
    <x:row r="188" ht="38" customHeight="1">
      <x:c r="A188" s="2" t="str">
        <x:v>名古屋大学</x:v>
      </x:c>
      <x:c r="B188" s="2" t="str">
        <x:v>情報学研究科</x:v>
      </x:c>
      <x:c r="C188" s="2" t="str">
        <x:v>複雑系科学専攻</x:v>
      </x:c>
      <x:c r="D188" s="44" t="n">
        <x:v>2024</x:v>
      </x:c>
      <x:c r="E188" s="27" t="str">
        <x:v>第2次（2月実施）</x:v>
      </x:c>
      <x:c r="F188" s="27" t="str">
        <x:v>博士前期課程</x:v>
      </x:c>
      <x:c r="G188" s="27" t="str">
        <x:v>公表された第2次募集合計</x:v>
      </x:c>
      <x:c r="H188" s="27" t="str">
        <x:v>专攻/系</x:v>
      </x:c>
      <x:c r="I188" s="44"/>
      <x:c r="J188" s="44" t="n">
        <x:v>25</x:v>
      </x:c>
      <x:c r="K188" s="44" t="n">
        <x:v>21</x:v>
      </x:c>
      <x:c r="L188" s="44" t="n">
        <x:v>13</x:v>
      </x:c>
      <x:c r="M188" s="44"/>
      <x:c r="N188" s="45" t="n">
        <x:f>IF(AND(J188&lt;&gt;"",L188&lt;&gt;0),J188/L188,"")</x:f>
        <x:v>1.9230769230769231</x:v>
      </x:c>
      <x:c r="O188" s="45" t="n">
        <x:f>IF(AND(K188&lt;&gt;"",L188&lt;&gt;0),K188/L188,"")</x:f>
        <x:v>1.6153846153846154</x:v>
      </x:c>
      <x:c r="P188" s="46" t="n">
        <x:f>IF(AND(K188&lt;&gt;"",K188&lt;&gt;0,L188&lt;&gt;""),L188/K188,"")</x:f>
        <x:v>0.6190476190476191</x:v>
      </x:c>
      <x:c r="Q188" s="46" t="str">
        <x:f>IF(AND(L188&lt;&gt;"",L188&lt;&gt;0,M188&lt;&gt;""),M188/L188,"")</x:f>
      </x:c>
      <x:c r="R188" s="45" t="n">
        <x:f>IF(N188&lt;&gt;"",N188,IF(O188&lt;&gt;"",O188,""))</x:f>
        <x:v>1.9230769230769231</x:v>
      </x:c>
      <x:c r="S188" s="2" t="str">
        <x:f>IF(N188&lt;&gt;"","志愿/合格",IF(O188&lt;&gt;"","受验/合格",""))</x:f>
        <x:v>志愿/合格</x:v>
      </x:c>
      <x:c r="T188" s="2" t="str">
        <x:v>官方</x:v>
      </x:c>
      <x:c r="U188" s="2" t="str">
        <x:v>高</x:v>
      </x:c>
      <x:c r="V188" s="27" t="str">
        <x:v>2023年度実施大学院入試 博士前期課程 2024年4月入学試験（2023年8月・2024年2月実施）</x:v>
      </x:c>
      <x:c r="W188" s="27" t="str">
        <x:v>PDF p.1／複雑系科学専攻行・第2次欄</x:v>
      </x:c>
      <x:c r="X188" s="27" t="str">
        <x:v>https://www.i.nagoya-u.ac.jp/wp-content/uploads/2018/05/da881abcfca5e794e2fcc279de2acd16.pdf</x:v>
      </x:c>
      <x:c r="Y188" s="27" t="str">
        <x:v>専攻単位の精确値。</x:v>
      </x:c>
      <x:c r="Z188" s="47" t="str">
        <x:v>年度定員と入学者数は年度合計行にのみ記録。</x:v>
      </x:c>
    </x:row>
    <x:row r="189" ht="38" customHeight="1">
      <x:c r="A189" s="2" t="str">
        <x:v>名古屋大学</x:v>
      </x:c>
      <x:c r="B189" s="2" t="str">
        <x:v>情報学研究科</x:v>
      </x:c>
      <x:c r="C189" s="2" t="str">
        <x:v>複雑系科学専攻</x:v>
      </x:c>
      <x:c r="D189" s="44" t="n">
        <x:v>2025</x:v>
      </x:c>
      <x:c r="E189" s="27" t="str">
        <x:v>第1次・第2次合計</x:v>
      </x:c>
      <x:c r="F189" s="27" t="str">
        <x:v>博士前期課程</x:v>
      </x:c>
      <x:c r="G189" s="27" t="str">
        <x:v>年度合計</x:v>
      </x:c>
      <x:c r="H189" s="27" t="str">
        <x:v>专攻/系</x:v>
      </x:c>
      <x:c r="I189" s="44" t="n">
        <x:v>44</x:v>
      </x:c>
      <x:c r="J189" s="44" t="n">
        <x:v>96</x:v>
      </x:c>
      <x:c r="K189" s="44" t="n">
        <x:v>89</x:v>
      </x:c>
      <x:c r="L189" s="44" t="n">
        <x:v>64</x:v>
      </x:c>
      <x:c r="M189" s="44" t="n">
        <x:v>58</x:v>
      </x:c>
      <x:c r="N189" s="45" t="n">
        <x:f>IF(AND(J189&lt;&gt;"",L189&lt;&gt;0),J189/L189,"")</x:f>
        <x:v>1.5</x:v>
      </x:c>
      <x:c r="O189" s="45" t="n">
        <x:f>IF(AND(K189&lt;&gt;"",L189&lt;&gt;0),K189/L189,"")</x:f>
        <x:v>1.390625</x:v>
      </x:c>
      <x:c r="P189" s="46" t="n">
        <x:f>IF(AND(K189&lt;&gt;"",K189&lt;&gt;0,L189&lt;&gt;""),L189/K189,"")</x:f>
        <x:v>0.7191011235955056</x:v>
      </x:c>
      <x:c r="Q189" s="46" t="n">
        <x:f>IF(AND(L189&lt;&gt;"",L189&lt;&gt;0,M189&lt;&gt;""),M189/L189,"")</x:f>
        <x:v>0.90625</x:v>
      </x:c>
      <x:c r="R189" s="45" t="n">
        <x:f>IF(N189&lt;&gt;"",N189,IF(O189&lt;&gt;"",O189,""))</x:f>
        <x:v>1.5</x:v>
      </x:c>
      <x:c r="S189" s="2" t="str">
        <x:f>IF(N189&lt;&gt;"","志愿/合格",IF(O189&lt;&gt;"","受验/合格",""))</x:f>
        <x:v>志愿/合格</x:v>
      </x:c>
      <x:c r="T189" s="2" t="str">
        <x:v>官方</x:v>
      </x:c>
      <x:c r="U189" s="2" t="str">
        <x:v>高</x:v>
      </x:c>
      <x:c r="V189" s="27" t="str">
        <x:v>2024年度実施大学院入試 博士前期課程 2025年4月入学試験（2024年8月・2025年2月実施）</x:v>
      </x:c>
      <x:c r="W189" s="27" t="str">
        <x:v>PDF p.1／複雑系科学専攻行・合計欄</x:v>
      </x:c>
      <x:c r="X189" s="27" t="str">
        <x:v>https://www.i.nagoya-u.ac.jp/wp-content/uploads/2018/05/05a0dfb6802945e0bf3e85afa4e246ba.pdf</x:v>
      </x:c>
      <x:c r="Y189" s="27" t="str">
        <x:v>専攻単位の精确値。</x:v>
      </x:c>
      <x:c r="Z189" s="47" t="str">
        <x:v>本行与期别行重复，汇总时不可重复相加。</x:v>
      </x:c>
    </x:row>
    <x:row r="190" ht="38" customHeight="1">
      <x:c r="A190" s="2" t="str">
        <x:v>名古屋大学</x:v>
      </x:c>
      <x:c r="B190" s="2" t="str">
        <x:v>情報学研究科</x:v>
      </x:c>
      <x:c r="C190" s="2" t="str">
        <x:v>複雑系科学専攻</x:v>
      </x:c>
      <x:c r="D190" s="44" t="n">
        <x:v>2025</x:v>
      </x:c>
      <x:c r="E190" s="27" t="str">
        <x:v>第1次（8月実施）</x:v>
      </x:c>
      <x:c r="F190" s="27" t="str">
        <x:v>博士前期課程</x:v>
      </x:c>
      <x:c r="G190" s="27" t="str">
        <x:v>公表された第1次募集合計</x:v>
      </x:c>
      <x:c r="H190" s="27" t="str">
        <x:v>专攻/系</x:v>
      </x:c>
      <x:c r="I190" s="44"/>
      <x:c r="J190" s="44" t="n">
        <x:v>77</x:v>
      </x:c>
      <x:c r="K190" s="44" t="n">
        <x:v>74</x:v>
      </x:c>
      <x:c r="L190" s="44" t="n">
        <x:v>51</x:v>
      </x:c>
      <x:c r="M190" s="44"/>
      <x:c r="N190" s="45" t="n">
        <x:f>IF(AND(J190&lt;&gt;"",L190&lt;&gt;0),J190/L190,"")</x:f>
        <x:v>1.5098039215686274</x:v>
      </x:c>
      <x:c r="O190" s="45" t="n">
        <x:f>IF(AND(K190&lt;&gt;"",L190&lt;&gt;0),K190/L190,"")</x:f>
        <x:v>1.4509803921568627</x:v>
      </x:c>
      <x:c r="P190" s="46" t="n">
        <x:f>IF(AND(K190&lt;&gt;"",K190&lt;&gt;0,L190&lt;&gt;""),L190/K190,"")</x:f>
        <x:v>0.6891891891891891</x:v>
      </x:c>
      <x:c r="Q190" s="46" t="str">
        <x:f>IF(AND(L190&lt;&gt;"",L190&lt;&gt;0,M190&lt;&gt;""),M190/L190,"")</x:f>
      </x:c>
      <x:c r="R190" s="45" t="n">
        <x:f>IF(N190&lt;&gt;"",N190,IF(O190&lt;&gt;"",O190,""))</x:f>
        <x:v>1.5098039215686274</x:v>
      </x:c>
      <x:c r="S190" s="2" t="str">
        <x:f>IF(N190&lt;&gt;"","志愿/合格",IF(O190&lt;&gt;"","受验/合格",""))</x:f>
        <x:v>志愿/合格</x:v>
      </x:c>
      <x:c r="T190" s="2" t="str">
        <x:v>官方</x:v>
      </x:c>
      <x:c r="U190" s="2" t="str">
        <x:v>高</x:v>
      </x:c>
      <x:c r="V190" s="27" t="str">
        <x:v>2024年度実施大学院入試 博士前期課程 2025年4月入学試験（2024年8月・2025年2月実施）</x:v>
      </x:c>
      <x:c r="W190" s="27" t="str">
        <x:v>PDF p.1／複雑系科学専攻行・第1次欄</x:v>
      </x:c>
      <x:c r="X190" s="27" t="str">
        <x:v>https://www.i.nagoya-u.ac.jp/wp-content/uploads/2018/05/05a0dfb6802945e0bf3e85afa4e246ba.pdf</x:v>
      </x:c>
      <x:c r="Y190" s="27" t="str">
        <x:v>専攻単位の精确値。</x:v>
      </x:c>
      <x:c r="Z190" s="47" t="str">
        <x:v>年度定員と入学者数は年度合計行にのみ記録。</x:v>
      </x:c>
    </x:row>
    <x:row r="191" ht="38" customHeight="1">
      <x:c r="A191" s="2" t="str">
        <x:v>名古屋大学</x:v>
      </x:c>
      <x:c r="B191" s="2" t="str">
        <x:v>情報学研究科</x:v>
      </x:c>
      <x:c r="C191" s="2" t="str">
        <x:v>複雑系科学専攻</x:v>
      </x:c>
      <x:c r="D191" s="44" t="n">
        <x:v>2025</x:v>
      </x:c>
      <x:c r="E191" s="27" t="str">
        <x:v>第2次（2月実施）</x:v>
      </x:c>
      <x:c r="F191" s="27" t="str">
        <x:v>博士前期課程</x:v>
      </x:c>
      <x:c r="G191" s="27" t="str">
        <x:v>公表された第2次募集合計</x:v>
      </x:c>
      <x:c r="H191" s="27" t="str">
        <x:v>专攻/系</x:v>
      </x:c>
      <x:c r="I191" s="44"/>
      <x:c r="J191" s="44" t="n">
        <x:v>19</x:v>
      </x:c>
      <x:c r="K191" s="44" t="n">
        <x:v>15</x:v>
      </x:c>
      <x:c r="L191" s="44" t="n">
        <x:v>13</x:v>
      </x:c>
      <x:c r="M191" s="44"/>
      <x:c r="N191" s="45" t="n">
        <x:f>IF(AND(J191&lt;&gt;"",L191&lt;&gt;0),J191/L191,"")</x:f>
        <x:v>1.4615384615384615</x:v>
      </x:c>
      <x:c r="O191" s="45" t="n">
        <x:f>IF(AND(K191&lt;&gt;"",L191&lt;&gt;0),K191/L191,"")</x:f>
        <x:v>1.1538461538461537</x:v>
      </x:c>
      <x:c r="P191" s="46" t="n">
        <x:f>IF(AND(K191&lt;&gt;"",K191&lt;&gt;0,L191&lt;&gt;""),L191/K191,"")</x:f>
        <x:v>0.8666666666666667</x:v>
      </x:c>
      <x:c r="Q191" s="46" t="str">
        <x:f>IF(AND(L191&lt;&gt;"",L191&lt;&gt;0,M191&lt;&gt;""),M191/L191,"")</x:f>
      </x:c>
      <x:c r="R191" s="45" t="n">
        <x:f>IF(N191&lt;&gt;"",N191,IF(O191&lt;&gt;"",O191,""))</x:f>
        <x:v>1.4615384615384615</x:v>
      </x:c>
      <x:c r="S191" s="2" t="str">
        <x:f>IF(N191&lt;&gt;"","志愿/合格",IF(O191&lt;&gt;"","受验/合格",""))</x:f>
        <x:v>志愿/合格</x:v>
      </x:c>
      <x:c r="T191" s="2" t="str">
        <x:v>官方</x:v>
      </x:c>
      <x:c r="U191" s="2" t="str">
        <x:v>高</x:v>
      </x:c>
      <x:c r="V191" s="27" t="str">
        <x:v>2024年度実施大学院入試 博士前期課程 2025年4月入学試験（2024年8月・2025年2月実施）</x:v>
      </x:c>
      <x:c r="W191" s="27" t="str">
        <x:v>PDF p.1／複雑系科学専攻行・第2次欄</x:v>
      </x:c>
      <x:c r="X191" s="27" t="str">
        <x:v>https://www.i.nagoya-u.ac.jp/wp-content/uploads/2018/05/05a0dfb6802945e0bf3e85afa4e246ba.pdf</x:v>
      </x:c>
      <x:c r="Y191" s="27" t="str">
        <x:v>専攻単位の精确値。</x:v>
      </x:c>
      <x:c r="Z191" s="47" t="str">
        <x:v>年度定員と入学者数は年度合計行にのみ記録。</x:v>
      </x:c>
    </x:row>
    <x:row r="192" ht="38" customHeight="1">
      <x:c r="A192" s="2" t="str">
        <x:v>名古屋大学</x:v>
      </x:c>
      <x:c r="B192" s="2" t="str">
        <x:v>情報学研究科</x:v>
      </x:c>
      <x:c r="C192" s="2" t="str">
        <x:v>複雑系科学専攻</x:v>
      </x:c>
      <x:c r="D192" s="44" t="n">
        <x:v>2026</x:v>
      </x:c>
      <x:c r="E192" s="27" t="str">
        <x:v>第1次・第2次合計</x:v>
      </x:c>
      <x:c r="F192" s="27" t="str">
        <x:v>博士前期課程</x:v>
      </x:c>
      <x:c r="G192" s="27" t="str">
        <x:v>年度合計</x:v>
      </x:c>
      <x:c r="H192" s="27" t="str">
        <x:v>专攻/系</x:v>
      </x:c>
      <x:c r="I192" s="44" t="n">
        <x:v>44</x:v>
      </x:c>
      <x:c r="J192" s="44" t="n">
        <x:v>114</x:v>
      </x:c>
      <x:c r="K192" s="44" t="n">
        <x:v>108</x:v>
      </x:c>
      <x:c r="L192" s="44" t="n">
        <x:v>69</x:v>
      </x:c>
      <x:c r="M192" s="44" t="n">
        <x:v>55</x:v>
      </x:c>
      <x:c r="N192" s="45" t="n">
        <x:f>IF(AND(J192&lt;&gt;"",L192&lt;&gt;0),J192/L192,"")</x:f>
        <x:v>1.6521739130434783</x:v>
      </x:c>
      <x:c r="O192" s="45" t="n">
        <x:f>IF(AND(K192&lt;&gt;"",L192&lt;&gt;0),K192/L192,"")</x:f>
        <x:v>1.565217391304348</x:v>
      </x:c>
      <x:c r="P192" s="46" t="n">
        <x:f>IF(AND(K192&lt;&gt;"",K192&lt;&gt;0,L192&lt;&gt;""),L192/K192,"")</x:f>
        <x:v>0.6388888888888888</x:v>
      </x:c>
      <x:c r="Q192" s="46" t="n">
        <x:f>IF(AND(L192&lt;&gt;"",L192&lt;&gt;0,M192&lt;&gt;""),M192/L192,"")</x:f>
        <x:v>0.7971014492753623</x:v>
      </x:c>
      <x:c r="R192" s="45" t="n">
        <x:f>IF(N192&lt;&gt;"",N192,IF(O192&lt;&gt;"",O192,""))</x:f>
        <x:v>1.6521739130434783</x:v>
      </x:c>
      <x:c r="S192" s="2" t="str">
        <x:f>IF(N192&lt;&gt;"","志愿/合格",IF(O192&lt;&gt;"","受验/合格",""))</x:f>
        <x:v>志愿/合格</x:v>
      </x:c>
      <x:c r="T192" s="2" t="str">
        <x:v>官方</x:v>
      </x:c>
      <x:c r="U192" s="2" t="str">
        <x:v>高</x:v>
      </x:c>
      <x:c r="V192" s="27" t="str">
        <x:v>2025年度実施大学院入試 博士前期課程 2026年4月入学試験（2025年8月・2026年2月実施）</x:v>
      </x:c>
      <x:c r="W192" s="27" t="str">
        <x:v>PDF p.1／複雑系科学専攻行・合計欄</x:v>
      </x:c>
      <x:c r="X192" s="27" t="str">
        <x:v>https://www.i.nagoya-u.ac.jp/wp-content/uploads/2018/05/8b04b626656e26978db091d8329a9e1e.pdf</x:v>
      </x:c>
      <x:c r="Y192" s="27" t="str">
        <x:v>専攻単位の精确値。</x:v>
      </x:c>
      <x:c r="Z192" s="47" t="str">
        <x:v>本行与期别行重复，汇总时不可重复相加。</x:v>
      </x:c>
    </x:row>
    <x:row r="193" ht="38" customHeight="1">
      <x:c r="A193" s="2" t="str">
        <x:v>名古屋大学</x:v>
      </x:c>
      <x:c r="B193" s="2" t="str">
        <x:v>情報学研究科</x:v>
      </x:c>
      <x:c r="C193" s="2" t="str">
        <x:v>複雑系科学専攻</x:v>
      </x:c>
      <x:c r="D193" s="44" t="n">
        <x:v>2026</x:v>
      </x:c>
      <x:c r="E193" s="27" t="str">
        <x:v>第1次（8月実施）</x:v>
      </x:c>
      <x:c r="F193" s="27" t="str">
        <x:v>博士前期課程</x:v>
      </x:c>
      <x:c r="G193" s="27" t="str">
        <x:v>公表された第1次募集合計</x:v>
      </x:c>
      <x:c r="H193" s="27" t="str">
        <x:v>专攻/系</x:v>
      </x:c>
      <x:c r="I193" s="44"/>
      <x:c r="J193" s="44" t="n">
        <x:v>80</x:v>
      </x:c>
      <x:c r="K193" s="44" t="n">
        <x:v>75</x:v>
      </x:c>
      <x:c r="L193" s="44" t="n">
        <x:v>51</x:v>
      </x:c>
      <x:c r="M193" s="44"/>
      <x:c r="N193" s="45" t="n">
        <x:f>IF(AND(J193&lt;&gt;"",L193&lt;&gt;0),J193/L193,"")</x:f>
        <x:v>1.5686274509803921</x:v>
      </x:c>
      <x:c r="O193" s="45" t="n">
        <x:f>IF(AND(K193&lt;&gt;"",L193&lt;&gt;0),K193/L193,"")</x:f>
        <x:v>1.4705882352941178</x:v>
      </x:c>
      <x:c r="P193" s="46" t="n">
        <x:f>IF(AND(K193&lt;&gt;"",K193&lt;&gt;0,L193&lt;&gt;""),L193/K193,"")</x:f>
        <x:v>0.68</x:v>
      </x:c>
      <x:c r="Q193" s="46" t="str">
        <x:f>IF(AND(L193&lt;&gt;"",L193&lt;&gt;0,M193&lt;&gt;""),M193/L193,"")</x:f>
      </x:c>
      <x:c r="R193" s="45" t="n">
        <x:f>IF(N193&lt;&gt;"",N193,IF(O193&lt;&gt;"",O193,""))</x:f>
        <x:v>1.5686274509803921</x:v>
      </x:c>
      <x:c r="S193" s="2" t="str">
        <x:f>IF(N193&lt;&gt;"","志愿/合格",IF(O193&lt;&gt;"","受验/合格",""))</x:f>
        <x:v>志愿/合格</x:v>
      </x:c>
      <x:c r="T193" s="2" t="str">
        <x:v>官方</x:v>
      </x:c>
      <x:c r="U193" s="2" t="str">
        <x:v>高</x:v>
      </x:c>
      <x:c r="V193" s="27" t="str">
        <x:v>2025年度実施大学院入試 博士前期課程 2026年4月入学試験（2025年8月・2026年2月実施）</x:v>
      </x:c>
      <x:c r="W193" s="27" t="str">
        <x:v>PDF p.1／複雑系科学専攻行・第1次欄</x:v>
      </x:c>
      <x:c r="X193" s="27" t="str">
        <x:v>https://www.i.nagoya-u.ac.jp/wp-content/uploads/2018/05/8b04b626656e26978db091d8329a9e1e.pdf</x:v>
      </x:c>
      <x:c r="Y193" s="27" t="str">
        <x:v>専攻単位の精确値。</x:v>
      </x:c>
      <x:c r="Z193" s="47" t="str">
        <x:v>年度定員と入学者数は年度合計行にのみ記録。</x:v>
      </x:c>
    </x:row>
    <x:row r="194" ht="38" customHeight="1">
      <x:c r="A194" s="2" t="str">
        <x:v>名古屋大学</x:v>
      </x:c>
      <x:c r="B194" s="2" t="str">
        <x:v>情報学研究科</x:v>
      </x:c>
      <x:c r="C194" s="2" t="str">
        <x:v>複雑系科学専攻</x:v>
      </x:c>
      <x:c r="D194" s="44" t="n">
        <x:v>2026</x:v>
      </x:c>
      <x:c r="E194" s="27" t="str">
        <x:v>第2次（2月実施）</x:v>
      </x:c>
      <x:c r="F194" s="27" t="str">
        <x:v>博士前期課程</x:v>
      </x:c>
      <x:c r="G194" s="27" t="str">
        <x:v>公表された第2次募集合計</x:v>
      </x:c>
      <x:c r="H194" s="27" t="str">
        <x:v>专攻/系</x:v>
      </x:c>
      <x:c r="I194" s="44"/>
      <x:c r="J194" s="44" t="n">
        <x:v>34</x:v>
      </x:c>
      <x:c r="K194" s="44" t="n">
        <x:v>33</x:v>
      </x:c>
      <x:c r="L194" s="44" t="n">
        <x:v>18</x:v>
      </x:c>
      <x:c r="M194" s="44"/>
      <x:c r="N194" s="45" t="n">
        <x:f>IF(AND(J194&lt;&gt;"",L194&lt;&gt;0),J194/L194,"")</x:f>
        <x:v>1.8888888888888888</x:v>
      </x:c>
      <x:c r="O194" s="45" t="n">
        <x:f>IF(AND(K194&lt;&gt;"",L194&lt;&gt;0),K194/L194,"")</x:f>
        <x:v>1.8333333333333333</x:v>
      </x:c>
      <x:c r="P194" s="46" t="n">
        <x:f>IF(AND(K194&lt;&gt;"",K194&lt;&gt;0,L194&lt;&gt;""),L194/K194,"")</x:f>
        <x:v>0.5454545454545454</x:v>
      </x:c>
      <x:c r="Q194" s="46" t="str">
        <x:f>IF(AND(L194&lt;&gt;"",L194&lt;&gt;0,M194&lt;&gt;""),M194/L194,"")</x:f>
      </x:c>
      <x:c r="R194" s="45" t="n">
        <x:f>IF(N194&lt;&gt;"",N194,IF(O194&lt;&gt;"",O194,""))</x:f>
        <x:v>1.8888888888888888</x:v>
      </x:c>
      <x:c r="S194" s="2" t="str">
        <x:f>IF(N194&lt;&gt;"","志愿/合格",IF(O194&lt;&gt;"","受验/合格",""))</x:f>
        <x:v>志愿/合格</x:v>
      </x:c>
      <x:c r="T194" s="2" t="str">
        <x:v>官方</x:v>
      </x:c>
      <x:c r="U194" s="2" t="str">
        <x:v>高</x:v>
      </x:c>
      <x:c r="V194" s="27" t="str">
        <x:v>2025年度実施大学院入試 博士前期課程 2026年4月入学試験（2025年8月・2026年2月実施）</x:v>
      </x:c>
      <x:c r="W194" s="27" t="str">
        <x:v>PDF p.1／複雑系科学専攻行・第2次欄</x:v>
      </x:c>
      <x:c r="X194" s="27" t="str">
        <x:v>https://www.i.nagoya-u.ac.jp/wp-content/uploads/2018/05/8b04b626656e26978db091d8329a9e1e.pdf</x:v>
      </x:c>
      <x:c r="Y194" s="27" t="str">
        <x:v>専攻単位の精确値。</x:v>
      </x:c>
      <x:c r="Z194" s="47" t="str">
        <x:v>年度定員と入学者数は年度合計行にのみ記録。</x:v>
      </x:c>
    </x:row>
    <x:row r="195" ht="38" customHeight="1">
      <x:c r="A195" s="2" t="str">
        <x:v>名古屋大学</x:v>
      </x:c>
      <x:c r="B195" s="2" t="str">
        <x:v>理学研究科</x:v>
      </x:c>
      <x:c r="C195" s="2" t="str">
        <x:v>理学専攻 生命理学領域</x:v>
      </x:c>
      <x:c r="D195" s="44" t="n">
        <x:v>2022</x:v>
      </x:c>
      <x:c r="E195" s="27" t="str">
        <x:v>春期入学・年度合計</x:v>
      </x:c>
      <x:c r="F195" s="27" t="str">
        <x:v>博士前期課程</x:v>
      </x:c>
      <x:c r="G195" s="27" t="str">
        <x:v>領域別公表合計</x:v>
      </x:c>
      <x:c r="H195" s="27" t="str">
        <x:v>课程/分野</x:v>
      </x:c>
      <x:c r="I195" s="44" t="n">
        <x:v>44</x:v>
      </x:c>
      <x:c r="J195" s="44" t="n">
        <x:v>54</x:v>
      </x:c>
      <x:c r="K195" s="44"/>
      <x:c r="L195" s="44" t="n">
        <x:v>48</x:v>
      </x:c>
      <x:c r="M195" s="44" t="n">
        <x:v>47</x:v>
      </x:c>
      <x:c r="N195" s="45" t="n">
        <x:f>IF(AND(J195&lt;&gt;"",L195&lt;&gt;0),J195/L195,"")</x:f>
        <x:v>1.125</x:v>
      </x:c>
      <x:c r="O195" s="45" t="str">
        <x:f>IF(AND(K195&lt;&gt;"",L195&lt;&gt;0),K195/L195,"")</x:f>
      </x:c>
      <x:c r="P195" s="46" t="str">
        <x:f>IF(AND(K195&lt;&gt;"",K195&lt;&gt;0,L195&lt;&gt;""),L195/K195,"")</x:f>
      </x:c>
      <x:c r="Q195" s="46" t="n">
        <x:f>IF(AND(L195&lt;&gt;"",L195&lt;&gt;0,M195&lt;&gt;""),M195/L195,"")</x:f>
        <x:v>0.9791666666666666</x:v>
      </x:c>
      <x:c r="R195" s="45" t="n">
        <x:f>IF(N195&lt;&gt;"",N195,IF(O195&lt;&gt;"",O195,""))</x:f>
        <x:v>1.125</x:v>
      </x:c>
      <x:c r="S195" s="2" t="str">
        <x:f>IF(N195&lt;&gt;"","志愿/合格",IF(O195&lt;&gt;"","受验/合格",""))</x:f>
        <x:v>志愿/合格</x:v>
      </x:c>
      <x:c r="T195" s="2" t="str">
        <x:v>官方</x:v>
      </x:c>
      <x:c r="U195" s="2" t="str">
        <x:v>高</x:v>
      </x:c>
      <x:c r="V195" s="27" t="str">
        <x:v>大学院入学・進学試験実施状況 | 名古屋大学大学院理学研究科</x:v>
      </x:c>
      <x:c r="W195" s="27" t="str">
        <x:v>2022年度「博士前期課程」表／生命理学領域行</x:v>
      </x:c>
      <x:c r="X195" s="27" t="str">
        <x:v>https://www.sci.nagoya-u.ac.jp/admission/past-entry/</x:v>
      </x:c>
      <x:c r="Y195" s="27" t="str">
        <x:v>理学専攻内の領域単位。项目所列生命理学領域。</x:v>
      </x:c>
      <x:c r="Z195" s="47" t="str">
        <x:v>受験者数は非掲載。</x:v>
      </x:c>
    </x:row>
    <x:row r="196" ht="38" customHeight="1">
      <x:c r="A196" s="2" t="str">
        <x:v>名古屋大学</x:v>
      </x:c>
      <x:c r="B196" s="2" t="str">
        <x:v>理学研究科</x:v>
      </x:c>
      <x:c r="C196" s="2" t="str">
        <x:v>理学専攻 生命理学領域</x:v>
      </x:c>
      <x:c r="D196" s="44" t="n">
        <x:v>2023</x:v>
      </x:c>
      <x:c r="E196" s="27" t="str">
        <x:v>春期入学・年度合計</x:v>
      </x:c>
      <x:c r="F196" s="27" t="str">
        <x:v>博士前期課程</x:v>
      </x:c>
      <x:c r="G196" s="27" t="str">
        <x:v>領域別公表合計</x:v>
      </x:c>
      <x:c r="H196" s="27" t="str">
        <x:v>课程/分野</x:v>
      </x:c>
      <x:c r="I196" s="44" t="n">
        <x:v>44</x:v>
      </x:c>
      <x:c r="J196" s="44" t="n">
        <x:v>51</x:v>
      </x:c>
      <x:c r="K196" s="44"/>
      <x:c r="L196" s="44" t="n">
        <x:v>43</x:v>
      </x:c>
      <x:c r="M196" s="44" t="n">
        <x:v>41</x:v>
      </x:c>
      <x:c r="N196" s="45" t="n">
        <x:f>IF(AND(J196&lt;&gt;"",L196&lt;&gt;0),J196/L196,"")</x:f>
        <x:v>1.186046511627907</x:v>
      </x:c>
      <x:c r="O196" s="45" t="str">
        <x:f>IF(AND(K196&lt;&gt;"",L196&lt;&gt;0),K196/L196,"")</x:f>
      </x:c>
      <x:c r="P196" s="46" t="str">
        <x:f>IF(AND(K196&lt;&gt;"",K196&lt;&gt;0,L196&lt;&gt;""),L196/K196,"")</x:f>
      </x:c>
      <x:c r="Q196" s="46" t="n">
        <x:f>IF(AND(L196&lt;&gt;"",L196&lt;&gt;0,M196&lt;&gt;""),M196/L196,"")</x:f>
        <x:v>0.9534883720930233</x:v>
      </x:c>
      <x:c r="R196" s="45" t="n">
        <x:f>IF(N196&lt;&gt;"",N196,IF(O196&lt;&gt;"",O196,""))</x:f>
        <x:v>1.186046511627907</x:v>
      </x:c>
      <x:c r="S196" s="2" t="str">
        <x:f>IF(N196&lt;&gt;"","志愿/合格",IF(O196&lt;&gt;"","受验/合格",""))</x:f>
        <x:v>志愿/合格</x:v>
      </x:c>
      <x:c r="T196" s="2" t="str">
        <x:v>官方</x:v>
      </x:c>
      <x:c r="U196" s="2" t="str">
        <x:v>高</x:v>
      </x:c>
      <x:c r="V196" s="27" t="str">
        <x:v>大学院入学・進学試験実施状況 | 名古屋大学大学院理学研究科</x:v>
      </x:c>
      <x:c r="W196" s="27" t="str">
        <x:v>2023年度「博士前期課程」表／生命理学領域行</x:v>
      </x:c>
      <x:c r="X196" s="27" t="str">
        <x:v>https://www.sci.nagoya-u.ac.jp/admission/past-entry/</x:v>
      </x:c>
      <x:c r="Y196" s="27" t="str">
        <x:v>理学専攻内の領域単位。项目所列生命理学領域。</x:v>
      </x:c>
      <x:c r="Z196" s="47" t="str">
        <x:v>受験者数は非掲載。</x:v>
      </x:c>
    </x:row>
    <x:row r="197" ht="38" customHeight="1">
      <x:c r="A197" s="2" t="str">
        <x:v>名古屋大学</x:v>
      </x:c>
      <x:c r="B197" s="2" t="str">
        <x:v>理学研究科</x:v>
      </x:c>
      <x:c r="C197" s="2" t="str">
        <x:v>理学専攻 生命理学領域</x:v>
      </x:c>
      <x:c r="D197" s="44" t="n">
        <x:v>2024</x:v>
      </x:c>
      <x:c r="E197" s="27" t="str">
        <x:v>春期入学・年度合計</x:v>
      </x:c>
      <x:c r="F197" s="27" t="str">
        <x:v>博士前期課程</x:v>
      </x:c>
      <x:c r="G197" s="27" t="str">
        <x:v>領域別公表合計</x:v>
      </x:c>
      <x:c r="H197" s="27" t="str">
        <x:v>课程/分野</x:v>
      </x:c>
      <x:c r="I197" s="44" t="n">
        <x:v>44</x:v>
      </x:c>
      <x:c r="J197" s="44" t="n">
        <x:v>63</x:v>
      </x:c>
      <x:c r="K197" s="44"/>
      <x:c r="L197" s="44" t="n">
        <x:v>50</x:v>
      </x:c>
      <x:c r="M197" s="44" t="n">
        <x:v>46</x:v>
      </x:c>
      <x:c r="N197" s="45" t="n">
        <x:f>IF(AND(J197&lt;&gt;"",L197&lt;&gt;0),J197/L197,"")</x:f>
        <x:v>1.26</x:v>
      </x:c>
      <x:c r="O197" s="45" t="str">
        <x:f>IF(AND(K197&lt;&gt;"",L197&lt;&gt;0),K197/L197,"")</x:f>
      </x:c>
      <x:c r="P197" s="46" t="str">
        <x:f>IF(AND(K197&lt;&gt;"",K197&lt;&gt;0,L197&lt;&gt;""),L197/K197,"")</x:f>
      </x:c>
      <x:c r="Q197" s="46" t="n">
        <x:f>IF(AND(L197&lt;&gt;"",L197&lt;&gt;0,M197&lt;&gt;""),M197/L197,"")</x:f>
        <x:v>0.92</x:v>
      </x:c>
      <x:c r="R197" s="45" t="n">
        <x:f>IF(N197&lt;&gt;"",N197,IF(O197&lt;&gt;"",O197,""))</x:f>
        <x:v>1.26</x:v>
      </x:c>
      <x:c r="S197" s="2" t="str">
        <x:f>IF(N197&lt;&gt;"","志愿/合格",IF(O197&lt;&gt;"","受验/合格",""))</x:f>
        <x:v>志愿/合格</x:v>
      </x:c>
      <x:c r="T197" s="2" t="str">
        <x:v>官方</x:v>
      </x:c>
      <x:c r="U197" s="2" t="str">
        <x:v>高</x:v>
      </x:c>
      <x:c r="V197" s="27" t="str">
        <x:v>大学院入学・進学試験実施状況 | 名古屋大学大学院理学研究科</x:v>
      </x:c>
      <x:c r="W197" s="27" t="str">
        <x:v>2024年度「博士前期課程」表／生命理学領域行</x:v>
      </x:c>
      <x:c r="X197" s="27" t="str">
        <x:v>https://www.sci.nagoya-u.ac.jp/admission/past-entry/</x:v>
      </x:c>
      <x:c r="Y197" s="27" t="str">
        <x:v>理学専攻内の領域単位。项目所列生命理学領域。</x:v>
      </x:c>
      <x:c r="Z197" s="47" t="str">
        <x:v>受験者数は非掲載。</x:v>
      </x:c>
    </x:row>
    <x:row r="198" ht="38" customHeight="1">
      <x:c r="A198" s="2" t="str">
        <x:v>名古屋大学</x:v>
      </x:c>
      <x:c r="B198" s="2" t="str">
        <x:v>理学研究科</x:v>
      </x:c>
      <x:c r="C198" s="2" t="str">
        <x:v>理学専攻 生命理学領域</x:v>
      </x:c>
      <x:c r="D198" s="44" t="n">
        <x:v>2025</x:v>
      </x:c>
      <x:c r="E198" s="27" t="str">
        <x:v>春期入学・年度合計</x:v>
      </x:c>
      <x:c r="F198" s="27" t="str">
        <x:v>博士前期課程</x:v>
      </x:c>
      <x:c r="G198" s="27" t="str">
        <x:v>領域別公表合計</x:v>
      </x:c>
      <x:c r="H198" s="27" t="str">
        <x:v>课程/分野</x:v>
      </x:c>
      <x:c r="I198" s="44" t="n">
        <x:v>44</x:v>
      </x:c>
      <x:c r="J198" s="44" t="n">
        <x:v>56</x:v>
      </x:c>
      <x:c r="K198" s="44"/>
      <x:c r="L198" s="44" t="n">
        <x:v>48</x:v>
      </x:c>
      <x:c r="M198" s="44" t="n">
        <x:v>42</x:v>
      </x:c>
      <x:c r="N198" s="45" t="n">
        <x:f>IF(AND(J198&lt;&gt;"",L198&lt;&gt;0),J198/L198,"")</x:f>
        <x:v>1.1666666666666667</x:v>
      </x:c>
      <x:c r="O198" s="45" t="str">
        <x:f>IF(AND(K198&lt;&gt;"",L198&lt;&gt;0),K198/L198,"")</x:f>
      </x:c>
      <x:c r="P198" s="46" t="str">
        <x:f>IF(AND(K198&lt;&gt;"",K198&lt;&gt;0,L198&lt;&gt;""),L198/K198,"")</x:f>
      </x:c>
      <x:c r="Q198" s="46" t="n">
        <x:f>IF(AND(L198&lt;&gt;"",L198&lt;&gt;0,M198&lt;&gt;""),M198/L198,"")</x:f>
        <x:v>0.875</x:v>
      </x:c>
      <x:c r="R198" s="45" t="n">
        <x:f>IF(N198&lt;&gt;"",N198,IF(O198&lt;&gt;"",O198,""))</x:f>
        <x:v>1.1666666666666667</x:v>
      </x:c>
      <x:c r="S198" s="2" t="str">
        <x:f>IF(N198&lt;&gt;"","志愿/合格",IF(O198&lt;&gt;"","受验/合格",""))</x:f>
        <x:v>志愿/合格</x:v>
      </x:c>
      <x:c r="T198" s="2" t="str">
        <x:v>官方</x:v>
      </x:c>
      <x:c r="U198" s="2" t="str">
        <x:v>高</x:v>
      </x:c>
      <x:c r="V198" s="27" t="str">
        <x:v>大学院入学・進学試験実施状況 | 名古屋大学大学院理学研究科</x:v>
      </x:c>
      <x:c r="W198" s="27" t="str">
        <x:v>2025年度「博士前期課程」表／生命理学領域行</x:v>
      </x:c>
      <x:c r="X198" s="27" t="str">
        <x:v>https://www.sci.nagoya-u.ac.jp/admission/past-entry/</x:v>
      </x:c>
      <x:c r="Y198" s="27" t="str">
        <x:v>理学専攻内の領域単位。项目所列生命理学領域。</x:v>
      </x:c>
      <x:c r="Z198" s="47" t="str">
        <x:v>受験者数は非掲載。</x:v>
      </x:c>
    </x:row>
    <x:row r="199" ht="38" customHeight="1">
      <x:c r="A199" s="2" t="str">
        <x:v>名古屋大学</x:v>
      </x:c>
      <x:c r="B199" s="2" t="str">
        <x:v>理学研究科</x:v>
      </x:c>
      <x:c r="C199" s="2" t="str">
        <x:v>理学専攻 生命理学領域</x:v>
      </x:c>
      <x:c r="D199" s="44" t="n">
        <x:v>2026</x:v>
      </x:c>
      <x:c r="E199" s="27" t="str">
        <x:v>春期入学・年度合計</x:v>
      </x:c>
      <x:c r="F199" s="27" t="str">
        <x:v>博士前期課程</x:v>
      </x:c>
      <x:c r="G199" s="27" t="str">
        <x:v>領域別公表合計</x:v>
      </x:c>
      <x:c r="H199" s="27" t="str">
        <x:v>课程/分野</x:v>
      </x:c>
      <x:c r="I199" s="44" t="n">
        <x:v>44</x:v>
      </x:c>
      <x:c r="J199" s="44" t="n">
        <x:v>54</x:v>
      </x:c>
      <x:c r="K199" s="44"/>
      <x:c r="L199" s="44" t="n">
        <x:v>46</x:v>
      </x:c>
      <x:c r="M199" s="44" t="n">
        <x:v>40</x:v>
      </x:c>
      <x:c r="N199" s="45" t="n">
        <x:f>IF(AND(J199&lt;&gt;"",L199&lt;&gt;0),J199/L199,"")</x:f>
        <x:v>1.173913043478261</x:v>
      </x:c>
      <x:c r="O199" s="45" t="str">
        <x:f>IF(AND(K199&lt;&gt;"",L199&lt;&gt;0),K199/L199,"")</x:f>
      </x:c>
      <x:c r="P199" s="46" t="str">
        <x:f>IF(AND(K199&lt;&gt;"",K199&lt;&gt;0,L199&lt;&gt;""),L199/K199,"")</x:f>
      </x:c>
      <x:c r="Q199" s="46" t="n">
        <x:f>IF(AND(L199&lt;&gt;"",L199&lt;&gt;0,M199&lt;&gt;""),M199/L199,"")</x:f>
        <x:v>0.8695652173913043</x:v>
      </x:c>
      <x:c r="R199" s="45" t="n">
        <x:f>IF(N199&lt;&gt;"",N199,IF(O199&lt;&gt;"",O199,""))</x:f>
        <x:v>1.173913043478261</x:v>
      </x:c>
      <x:c r="S199" s="2" t="str">
        <x:f>IF(N199&lt;&gt;"","志愿/合格",IF(O199&lt;&gt;"","受验/合格",""))</x:f>
        <x:v>志愿/合格</x:v>
      </x:c>
      <x:c r="T199" s="2" t="str">
        <x:v>官方</x:v>
      </x:c>
      <x:c r="U199" s="2" t="str">
        <x:v>高</x:v>
      </x:c>
      <x:c r="V199" s="27" t="str">
        <x:v>大学院入学・進学試験実施状況 | 名古屋大学大学院理学研究科</x:v>
      </x:c>
      <x:c r="W199" s="27" t="str">
        <x:v>2026年度「博士前期課程」表／生命理学領域行</x:v>
      </x:c>
      <x:c r="X199" s="27" t="str">
        <x:v>https://www.sci.nagoya-u.ac.jp/admission/past-entry/</x:v>
      </x:c>
      <x:c r="Y199" s="27" t="str">
        <x:v>理学専攻内の領域単位。项目所列生命理学領域。</x:v>
      </x:c>
      <x:c r="Z199" s="47" t="str">
        <x:v>受験者数は非掲載。</x:v>
      </x:c>
    </x:row>
    <x:row r="200" ht="38" customHeight="1">
      <x:c r="A200" s="2" t="str">
        <x:v>名古屋大学</x:v>
      </x:c>
      <x:c r="B200" s="2" t="str">
        <x:v>理学研究科</x:v>
      </x:c>
      <x:c r="C200" s="2" t="str">
        <x:v>理学専攻 物質・生命化学領域</x:v>
      </x:c>
      <x:c r="D200" s="44" t="n">
        <x:v>2022</x:v>
      </x:c>
      <x:c r="E200" s="27" t="str">
        <x:v>春期入学・年度合計</x:v>
      </x:c>
      <x:c r="F200" s="27" t="str">
        <x:v>博士前期課程</x:v>
      </x:c>
      <x:c r="G200" s="27" t="str">
        <x:v>領域別公表合計</x:v>
      </x:c>
      <x:c r="H200" s="27" t="str">
        <x:v>课程/分野</x:v>
      </x:c>
      <x:c r="I200" s="44" t="n">
        <x:v>48</x:v>
      </x:c>
      <x:c r="J200" s="44" t="n">
        <x:v>52</x:v>
      </x:c>
      <x:c r="K200" s="44"/>
      <x:c r="L200" s="44" t="n">
        <x:v>48</x:v>
      </x:c>
      <x:c r="M200" s="44" t="n">
        <x:v>47</x:v>
      </x:c>
      <x:c r="N200" s="45" t="n">
        <x:f>IF(AND(J200&lt;&gt;"",L200&lt;&gt;0),J200/L200,"")</x:f>
        <x:v>1.0833333333333333</x:v>
      </x:c>
      <x:c r="O200" s="45" t="str">
        <x:f>IF(AND(K200&lt;&gt;"",L200&lt;&gt;0),K200/L200,"")</x:f>
      </x:c>
      <x:c r="P200" s="46" t="str">
        <x:f>IF(AND(K200&lt;&gt;"",K200&lt;&gt;0,L200&lt;&gt;""),L200/K200,"")</x:f>
      </x:c>
      <x:c r="Q200" s="46" t="n">
        <x:f>IF(AND(L200&lt;&gt;"",L200&lt;&gt;0,M200&lt;&gt;""),M200/L200,"")</x:f>
        <x:v>0.9791666666666666</x:v>
      </x:c>
      <x:c r="R200" s="45" t="n">
        <x:f>IF(N200&lt;&gt;"",N200,IF(O200&lt;&gt;"",O200,""))</x:f>
        <x:v>1.0833333333333333</x:v>
      </x:c>
      <x:c r="S200" s="2" t="str">
        <x:f>IF(N200&lt;&gt;"","志愿/合格",IF(O200&lt;&gt;"","受验/合格",""))</x:f>
        <x:v>志愿/合格</x:v>
      </x:c>
      <x:c r="T200" s="2" t="str">
        <x:v>官方</x:v>
      </x:c>
      <x:c r="U200" s="2" t="str">
        <x:v>高</x:v>
      </x:c>
      <x:c r="V200" s="27" t="str">
        <x:v>大学院入学・進学試験実施状況 | 名古屋大学大学院理学研究科</x:v>
      </x:c>
      <x:c r="W200" s="27" t="str">
        <x:v>2022年度「博士前期課程」表／物質・生命化学領域行</x:v>
      </x:c>
      <x:c r="X200" s="27" t="str">
        <x:v>https://www.sci.nagoya-u.ac.jp/admission/past-entry/</x:v>
      </x:c>
      <x:c r="Y200" s="27" t="str">
        <x:v>理学専攻内の領域単位。化学系に対応（現行組織名）。</x:v>
      </x:c>
      <x:c r="Z200" s="47" t="str">
        <x:v>受験者数は非掲載。</x:v>
      </x:c>
    </x:row>
    <x:row r="201" ht="38" customHeight="1">
      <x:c r="A201" s="2" t="str">
        <x:v>名古屋大学</x:v>
      </x:c>
      <x:c r="B201" s="2" t="str">
        <x:v>理学研究科</x:v>
      </x:c>
      <x:c r="C201" s="2" t="str">
        <x:v>理学専攻 物質・生命化学領域</x:v>
      </x:c>
      <x:c r="D201" s="44" t="n">
        <x:v>2023</x:v>
      </x:c>
      <x:c r="E201" s="27" t="str">
        <x:v>春期入学・年度合計</x:v>
      </x:c>
      <x:c r="F201" s="27" t="str">
        <x:v>博士前期課程</x:v>
      </x:c>
      <x:c r="G201" s="27" t="str">
        <x:v>領域別公表合計</x:v>
      </x:c>
      <x:c r="H201" s="27" t="str">
        <x:v>课程/分野</x:v>
      </x:c>
      <x:c r="I201" s="44" t="n">
        <x:v>48</x:v>
      </x:c>
      <x:c r="J201" s="44" t="n">
        <x:v>60</x:v>
      </x:c>
      <x:c r="K201" s="44"/>
      <x:c r="L201" s="44" t="n">
        <x:v>50</x:v>
      </x:c>
      <x:c r="M201" s="44" t="n">
        <x:v>47</x:v>
      </x:c>
      <x:c r="N201" s="45" t="n">
        <x:f>IF(AND(J201&lt;&gt;"",L201&lt;&gt;0),J201/L201,"")</x:f>
        <x:v>1.2</x:v>
      </x:c>
      <x:c r="O201" s="45" t="str">
        <x:f>IF(AND(K201&lt;&gt;"",L201&lt;&gt;0),K201/L201,"")</x:f>
      </x:c>
      <x:c r="P201" s="46" t="str">
        <x:f>IF(AND(K201&lt;&gt;"",K201&lt;&gt;0,L201&lt;&gt;""),L201/K201,"")</x:f>
      </x:c>
      <x:c r="Q201" s="46" t="n">
        <x:f>IF(AND(L201&lt;&gt;"",L201&lt;&gt;0,M201&lt;&gt;""),M201/L201,"")</x:f>
        <x:v>0.94</x:v>
      </x:c>
      <x:c r="R201" s="45" t="n">
        <x:f>IF(N201&lt;&gt;"",N201,IF(O201&lt;&gt;"",O201,""))</x:f>
        <x:v>1.2</x:v>
      </x:c>
      <x:c r="S201" s="2" t="str">
        <x:f>IF(N201&lt;&gt;"","志愿/合格",IF(O201&lt;&gt;"","受验/合格",""))</x:f>
        <x:v>志愿/合格</x:v>
      </x:c>
      <x:c r="T201" s="2" t="str">
        <x:v>官方</x:v>
      </x:c>
      <x:c r="U201" s="2" t="str">
        <x:v>高</x:v>
      </x:c>
      <x:c r="V201" s="27" t="str">
        <x:v>大学院入学・進学試験実施状況 | 名古屋大学大学院理学研究科</x:v>
      </x:c>
      <x:c r="W201" s="27" t="str">
        <x:v>2023年度「博士前期課程」表／物質・生命化学領域行</x:v>
      </x:c>
      <x:c r="X201" s="27" t="str">
        <x:v>https://www.sci.nagoya-u.ac.jp/admission/past-entry/</x:v>
      </x:c>
      <x:c r="Y201" s="27" t="str">
        <x:v>理学専攻内の領域単位。化学系に対応（現行組織名）。</x:v>
      </x:c>
      <x:c r="Z201" s="47" t="str">
        <x:v>受験者数は非掲載。</x:v>
      </x:c>
    </x:row>
    <x:row r="202" ht="38" customHeight="1">
      <x:c r="A202" s="2" t="str">
        <x:v>名古屋大学</x:v>
      </x:c>
      <x:c r="B202" s="2" t="str">
        <x:v>理学研究科</x:v>
      </x:c>
      <x:c r="C202" s="2" t="str">
        <x:v>理学専攻 物質・生命化学領域</x:v>
      </x:c>
      <x:c r="D202" s="44" t="n">
        <x:v>2024</x:v>
      </x:c>
      <x:c r="E202" s="27" t="str">
        <x:v>春期入学・年度合計</x:v>
      </x:c>
      <x:c r="F202" s="27" t="str">
        <x:v>博士前期課程</x:v>
      </x:c>
      <x:c r="G202" s="27" t="str">
        <x:v>領域別公表合計</x:v>
      </x:c>
      <x:c r="H202" s="27" t="str">
        <x:v>课程/分野</x:v>
      </x:c>
      <x:c r="I202" s="44" t="n">
        <x:v>48</x:v>
      </x:c>
      <x:c r="J202" s="44" t="n">
        <x:v>64</x:v>
      </x:c>
      <x:c r="K202" s="44"/>
      <x:c r="L202" s="44" t="n">
        <x:v>51</x:v>
      </x:c>
      <x:c r="M202" s="44" t="n">
        <x:v>50</x:v>
      </x:c>
      <x:c r="N202" s="45" t="n">
        <x:f>IF(AND(J202&lt;&gt;"",L202&lt;&gt;0),J202/L202,"")</x:f>
        <x:v>1.2549019607843137</x:v>
      </x:c>
      <x:c r="O202" s="45" t="str">
        <x:f>IF(AND(K202&lt;&gt;"",L202&lt;&gt;0),K202/L202,"")</x:f>
      </x:c>
      <x:c r="P202" s="46" t="str">
        <x:f>IF(AND(K202&lt;&gt;"",K202&lt;&gt;0,L202&lt;&gt;""),L202/K202,"")</x:f>
      </x:c>
      <x:c r="Q202" s="46" t="n">
        <x:f>IF(AND(L202&lt;&gt;"",L202&lt;&gt;0,M202&lt;&gt;""),M202/L202,"")</x:f>
        <x:v>0.9803921568627451</x:v>
      </x:c>
      <x:c r="R202" s="45" t="n">
        <x:f>IF(N202&lt;&gt;"",N202,IF(O202&lt;&gt;"",O202,""))</x:f>
        <x:v>1.2549019607843137</x:v>
      </x:c>
      <x:c r="S202" s="2" t="str">
        <x:f>IF(N202&lt;&gt;"","志愿/合格",IF(O202&lt;&gt;"","受验/合格",""))</x:f>
        <x:v>志愿/合格</x:v>
      </x:c>
      <x:c r="T202" s="2" t="str">
        <x:v>官方</x:v>
      </x:c>
      <x:c r="U202" s="2" t="str">
        <x:v>高</x:v>
      </x:c>
      <x:c r="V202" s="27" t="str">
        <x:v>大学院入学・進学試験実施状況 | 名古屋大学大学院理学研究科</x:v>
      </x:c>
      <x:c r="W202" s="27" t="str">
        <x:v>2024年度「博士前期課程」表／物質・生命化学領域行</x:v>
      </x:c>
      <x:c r="X202" s="27" t="str">
        <x:v>https://www.sci.nagoya-u.ac.jp/admission/past-entry/</x:v>
      </x:c>
      <x:c r="Y202" s="27" t="str">
        <x:v>理学専攻内の領域単位。化学系に対応（現行組織名）。</x:v>
      </x:c>
      <x:c r="Z202" s="47" t="str">
        <x:v>受験者数は非掲載。</x:v>
      </x:c>
    </x:row>
    <x:row r="203" ht="38" customHeight="1">
      <x:c r="A203" s="2" t="str">
        <x:v>名古屋大学</x:v>
      </x:c>
      <x:c r="B203" s="2" t="str">
        <x:v>理学研究科</x:v>
      </x:c>
      <x:c r="C203" s="2" t="str">
        <x:v>理学専攻 物質・生命化学領域</x:v>
      </x:c>
      <x:c r="D203" s="44" t="n">
        <x:v>2025</x:v>
      </x:c>
      <x:c r="E203" s="27" t="str">
        <x:v>春期入学・年度合計</x:v>
      </x:c>
      <x:c r="F203" s="27" t="str">
        <x:v>博士前期課程</x:v>
      </x:c>
      <x:c r="G203" s="27" t="str">
        <x:v>領域別公表合計</x:v>
      </x:c>
      <x:c r="H203" s="27" t="str">
        <x:v>课程/分野</x:v>
      </x:c>
      <x:c r="I203" s="44" t="n">
        <x:v>48</x:v>
      </x:c>
      <x:c r="J203" s="44" t="n">
        <x:v>54</x:v>
      </x:c>
      <x:c r="K203" s="44"/>
      <x:c r="L203" s="44" t="n">
        <x:v>44</x:v>
      </x:c>
      <x:c r="M203" s="44" t="n">
        <x:v>42</x:v>
      </x:c>
      <x:c r="N203" s="45" t="n">
        <x:f>IF(AND(J203&lt;&gt;"",L203&lt;&gt;0),J203/L203,"")</x:f>
        <x:v>1.2272727272727273</x:v>
      </x:c>
      <x:c r="O203" s="45" t="str">
        <x:f>IF(AND(K203&lt;&gt;"",L203&lt;&gt;0),K203/L203,"")</x:f>
      </x:c>
      <x:c r="P203" s="46" t="str">
        <x:f>IF(AND(K203&lt;&gt;"",K203&lt;&gt;0,L203&lt;&gt;""),L203/K203,"")</x:f>
      </x:c>
      <x:c r="Q203" s="46" t="n">
        <x:f>IF(AND(L203&lt;&gt;"",L203&lt;&gt;0,M203&lt;&gt;""),M203/L203,"")</x:f>
        <x:v>0.9545454545454546</x:v>
      </x:c>
      <x:c r="R203" s="45" t="n">
        <x:f>IF(N203&lt;&gt;"",N203,IF(O203&lt;&gt;"",O203,""))</x:f>
        <x:v>1.2272727272727273</x:v>
      </x:c>
      <x:c r="S203" s="2" t="str">
        <x:f>IF(N203&lt;&gt;"","志愿/合格",IF(O203&lt;&gt;"","受验/合格",""))</x:f>
        <x:v>志愿/合格</x:v>
      </x:c>
      <x:c r="T203" s="2" t="str">
        <x:v>官方</x:v>
      </x:c>
      <x:c r="U203" s="2" t="str">
        <x:v>高</x:v>
      </x:c>
      <x:c r="V203" s="27" t="str">
        <x:v>大学院入学・進学試験実施状況 | 名古屋大学大学院理学研究科</x:v>
      </x:c>
      <x:c r="W203" s="27" t="str">
        <x:v>2025年度「博士前期課程」表／物質・生命化学領域行</x:v>
      </x:c>
      <x:c r="X203" s="27" t="str">
        <x:v>https://www.sci.nagoya-u.ac.jp/admission/past-entry/</x:v>
      </x:c>
      <x:c r="Y203" s="27" t="str">
        <x:v>理学専攻内の領域単位。化学系に対応（現行組織名）。</x:v>
      </x:c>
      <x:c r="Z203" s="47" t="str">
        <x:v>受験者数は非掲載。</x:v>
      </x:c>
    </x:row>
    <x:row r="204" ht="38" customHeight="1">
      <x:c r="A204" s="2" t="str">
        <x:v>名古屋大学</x:v>
      </x:c>
      <x:c r="B204" s="2" t="str">
        <x:v>理学研究科</x:v>
      </x:c>
      <x:c r="C204" s="2" t="str">
        <x:v>理学専攻 物質・生命化学領域</x:v>
      </x:c>
      <x:c r="D204" s="44" t="n">
        <x:v>2026</x:v>
      </x:c>
      <x:c r="E204" s="27" t="str">
        <x:v>春期入学・年度合計</x:v>
      </x:c>
      <x:c r="F204" s="27" t="str">
        <x:v>博士前期課程</x:v>
      </x:c>
      <x:c r="G204" s="27" t="str">
        <x:v>領域別公表合計</x:v>
      </x:c>
      <x:c r="H204" s="27" t="str">
        <x:v>课程/分野</x:v>
      </x:c>
      <x:c r="I204" s="44" t="n">
        <x:v>48</x:v>
      </x:c>
      <x:c r="J204" s="44" t="n">
        <x:v>63</x:v>
      </x:c>
      <x:c r="K204" s="44"/>
      <x:c r="L204" s="44" t="n">
        <x:v>51</x:v>
      </x:c>
      <x:c r="M204" s="44" t="n">
        <x:v>48</x:v>
      </x:c>
      <x:c r="N204" s="45" t="n">
        <x:f>IF(AND(J204&lt;&gt;"",L204&lt;&gt;0),J204/L204,"")</x:f>
        <x:v>1.2352941176470589</x:v>
      </x:c>
      <x:c r="O204" s="45" t="str">
        <x:f>IF(AND(K204&lt;&gt;"",L204&lt;&gt;0),K204/L204,"")</x:f>
      </x:c>
      <x:c r="P204" s="46" t="str">
        <x:f>IF(AND(K204&lt;&gt;"",K204&lt;&gt;0,L204&lt;&gt;""),L204/K204,"")</x:f>
      </x:c>
      <x:c r="Q204" s="46" t="n">
        <x:f>IF(AND(L204&lt;&gt;"",L204&lt;&gt;0,M204&lt;&gt;""),M204/L204,"")</x:f>
        <x:v>0.9411764705882353</x:v>
      </x:c>
      <x:c r="R204" s="45" t="n">
        <x:f>IF(N204&lt;&gt;"",N204,IF(O204&lt;&gt;"",O204,""))</x:f>
        <x:v>1.2352941176470589</x:v>
      </x:c>
      <x:c r="S204" s="2" t="str">
        <x:f>IF(N204&lt;&gt;"","志愿/合格",IF(O204&lt;&gt;"","受验/合格",""))</x:f>
        <x:v>志愿/合格</x:v>
      </x:c>
      <x:c r="T204" s="2" t="str">
        <x:v>官方</x:v>
      </x:c>
      <x:c r="U204" s="2" t="str">
        <x:v>高</x:v>
      </x:c>
      <x:c r="V204" s="27" t="str">
        <x:v>大学院入学・進学試験実施状況 | 名古屋大学大学院理学研究科</x:v>
      </x:c>
      <x:c r="W204" s="27" t="str">
        <x:v>2026年度「博士前期課程」表／物質・生命化学領域行</x:v>
      </x:c>
      <x:c r="X204" s="27" t="str">
        <x:v>https://www.sci.nagoya-u.ac.jp/admission/past-entry/</x:v>
      </x:c>
      <x:c r="Y204" s="27" t="str">
        <x:v>理学専攻内の領域単位。化学系に対応（現行組織名）。</x:v>
      </x:c>
      <x:c r="Z204" s="47" t="str">
        <x:v>受験者数は非掲載。</x:v>
      </x:c>
    </x:row>
    <x:row r="205" ht="38" customHeight="1">
      <x:c r="A205" s="2" t="str">
        <x:v>名古屋大学</x:v>
      </x:c>
      <x:c r="B205" s="2" t="str">
        <x:v>理学研究科</x:v>
      </x:c>
      <x:c r="C205" s="2" t="str">
        <x:v>理学専攻 物理科学領域</x:v>
      </x:c>
      <x:c r="D205" s="44" t="n">
        <x:v>2022</x:v>
      </x:c>
      <x:c r="E205" s="27" t="str">
        <x:v>春期入学・年度合計</x:v>
      </x:c>
      <x:c r="F205" s="27" t="str">
        <x:v>博士前期課程</x:v>
      </x:c>
      <x:c r="G205" s="27" t="str">
        <x:v>領域別公表合計</x:v>
      </x:c>
      <x:c r="H205" s="27" t="str">
        <x:v>课程/分野</x:v>
      </x:c>
      <x:c r="I205" s="44" t="n">
        <x:v>96</x:v>
      </x:c>
      <x:c r="J205" s="44" t="n">
        <x:v>178</x:v>
      </x:c>
      <x:c r="K205" s="44"/>
      <x:c r="L205" s="44" t="n">
        <x:v>97</x:v>
      </x:c>
      <x:c r="M205" s="44" t="n">
        <x:v>89</x:v>
      </x:c>
      <x:c r="N205" s="45" t="n">
        <x:f>IF(AND(J205&lt;&gt;"",L205&lt;&gt;0),J205/L205,"")</x:f>
        <x:v>1.8350515463917525</x:v>
      </x:c>
      <x:c r="O205" s="45" t="str">
        <x:f>IF(AND(K205&lt;&gt;"",L205&lt;&gt;0),K205/L205,"")</x:f>
      </x:c>
      <x:c r="P205" s="46" t="str">
        <x:f>IF(AND(K205&lt;&gt;"",K205&lt;&gt;0,L205&lt;&gt;""),L205/K205,"")</x:f>
      </x:c>
      <x:c r="Q205" s="46" t="n">
        <x:f>IF(AND(L205&lt;&gt;"",L205&lt;&gt;0,M205&lt;&gt;""),M205/L205,"")</x:f>
        <x:v>0.9175257731958762</x:v>
      </x:c>
      <x:c r="R205" s="45" t="n">
        <x:f>IF(N205&lt;&gt;"",N205,IF(O205&lt;&gt;"",O205,""))</x:f>
        <x:v>1.8350515463917525</x:v>
      </x:c>
      <x:c r="S205" s="2" t="str">
        <x:f>IF(N205&lt;&gt;"","志愿/合格",IF(O205&lt;&gt;"","受验/合格",""))</x:f>
        <x:v>志愿/合格</x:v>
      </x:c>
      <x:c r="T205" s="2" t="str">
        <x:v>官方</x:v>
      </x:c>
      <x:c r="U205" s="2" t="str">
        <x:v>高</x:v>
      </x:c>
      <x:c r="V205" s="27" t="str">
        <x:v>大学院入学・進学試験実施状況 | 名古屋大学大学院理学研究科</x:v>
      </x:c>
      <x:c r="W205" s="27" t="str">
        <x:v>2022年度「博士前期課程」表／物理科学領域行</x:v>
      </x:c>
      <x:c r="X205" s="27" t="str">
        <x:v>https://www.sci.nagoya-u.ac.jp/admission/past-entry/</x:v>
      </x:c>
      <x:c r="Y205" s="27" t="str">
        <x:v>理学専攻内の領域単位。物理学教室に対応。</x:v>
      </x:c>
      <x:c r="Z205" s="47" t="str">
        <x:v>受験者数は非掲載。</x:v>
      </x:c>
    </x:row>
    <x:row r="206" ht="38" customHeight="1">
      <x:c r="A206" s="2" t="str">
        <x:v>名古屋大学</x:v>
      </x:c>
      <x:c r="B206" s="2" t="str">
        <x:v>理学研究科</x:v>
      </x:c>
      <x:c r="C206" s="2" t="str">
        <x:v>理学専攻 物理科学領域</x:v>
      </x:c>
      <x:c r="D206" s="44" t="n">
        <x:v>2023</x:v>
      </x:c>
      <x:c r="E206" s="27" t="str">
        <x:v>春期入学・年度合計</x:v>
      </x:c>
      <x:c r="F206" s="27" t="str">
        <x:v>博士前期課程</x:v>
      </x:c>
      <x:c r="G206" s="27" t="str">
        <x:v>領域別公表合計</x:v>
      </x:c>
      <x:c r="H206" s="27" t="str">
        <x:v>课程/分野</x:v>
      </x:c>
      <x:c r="I206" s="44" t="n">
        <x:v>96</x:v>
      </x:c>
      <x:c r="J206" s="44" t="n">
        <x:v>183</x:v>
      </x:c>
      <x:c r="K206" s="44"/>
      <x:c r="L206" s="44" t="n">
        <x:v>114</x:v>
      </x:c>
      <x:c r="M206" s="44" t="n">
        <x:v>109</x:v>
      </x:c>
      <x:c r="N206" s="45" t="n">
        <x:f>IF(AND(J206&lt;&gt;"",L206&lt;&gt;0),J206/L206,"")</x:f>
        <x:v>1.605263157894737</x:v>
      </x:c>
      <x:c r="O206" s="45" t="str">
        <x:f>IF(AND(K206&lt;&gt;"",L206&lt;&gt;0),K206/L206,"")</x:f>
      </x:c>
      <x:c r="P206" s="46" t="str">
        <x:f>IF(AND(K206&lt;&gt;"",K206&lt;&gt;0,L206&lt;&gt;""),L206/K206,"")</x:f>
      </x:c>
      <x:c r="Q206" s="46" t="n">
        <x:f>IF(AND(L206&lt;&gt;"",L206&lt;&gt;0,M206&lt;&gt;""),M206/L206,"")</x:f>
        <x:v>0.956140350877193</x:v>
      </x:c>
      <x:c r="R206" s="45" t="n">
        <x:f>IF(N206&lt;&gt;"",N206,IF(O206&lt;&gt;"",O206,""))</x:f>
        <x:v>1.605263157894737</x:v>
      </x:c>
      <x:c r="S206" s="2" t="str">
        <x:f>IF(N206&lt;&gt;"","志愿/合格",IF(O206&lt;&gt;"","受验/合格",""))</x:f>
        <x:v>志愿/合格</x:v>
      </x:c>
      <x:c r="T206" s="2" t="str">
        <x:v>官方</x:v>
      </x:c>
      <x:c r="U206" s="2" t="str">
        <x:v>高</x:v>
      </x:c>
      <x:c r="V206" s="27" t="str">
        <x:v>大学院入学・進学試験実施状況 | 名古屋大学大学院理学研究科</x:v>
      </x:c>
      <x:c r="W206" s="27" t="str">
        <x:v>2023年度「博士前期課程」表／物理科学領域行</x:v>
      </x:c>
      <x:c r="X206" s="27" t="str">
        <x:v>https://www.sci.nagoya-u.ac.jp/admission/past-entry/</x:v>
      </x:c>
      <x:c r="Y206" s="27" t="str">
        <x:v>理学専攻内の領域単位。物理学教室に対応。</x:v>
      </x:c>
      <x:c r="Z206" s="47" t="str">
        <x:v>受験者数は非掲載。</x:v>
      </x:c>
    </x:row>
    <x:row r="207" ht="38" customHeight="1">
      <x:c r="A207" s="2" t="str">
        <x:v>名古屋大学</x:v>
      </x:c>
      <x:c r="B207" s="2" t="str">
        <x:v>理学研究科</x:v>
      </x:c>
      <x:c r="C207" s="2" t="str">
        <x:v>理学専攻 物理科学領域</x:v>
      </x:c>
      <x:c r="D207" s="44" t="n">
        <x:v>2024</x:v>
      </x:c>
      <x:c r="E207" s="27" t="str">
        <x:v>春期入学・年度合計</x:v>
      </x:c>
      <x:c r="F207" s="27" t="str">
        <x:v>博士前期課程</x:v>
      </x:c>
      <x:c r="G207" s="27" t="str">
        <x:v>領域別公表合計</x:v>
      </x:c>
      <x:c r="H207" s="27" t="str">
        <x:v>课程/分野</x:v>
      </x:c>
      <x:c r="I207" s="44" t="n">
        <x:v>96</x:v>
      </x:c>
      <x:c r="J207" s="44" t="n">
        <x:v>154</x:v>
      </x:c>
      <x:c r="K207" s="44"/>
      <x:c r="L207" s="44" t="n">
        <x:v>107</x:v>
      </x:c>
      <x:c r="M207" s="44" t="n">
        <x:v>98</x:v>
      </x:c>
      <x:c r="N207" s="45" t="n">
        <x:f>IF(AND(J207&lt;&gt;"",L207&lt;&gt;0),J207/L207,"")</x:f>
        <x:v>1.439252336448598</x:v>
      </x:c>
      <x:c r="O207" s="45" t="str">
        <x:f>IF(AND(K207&lt;&gt;"",L207&lt;&gt;0),K207/L207,"")</x:f>
      </x:c>
      <x:c r="P207" s="46" t="str">
        <x:f>IF(AND(K207&lt;&gt;"",K207&lt;&gt;0,L207&lt;&gt;""),L207/K207,"")</x:f>
      </x:c>
      <x:c r="Q207" s="46" t="n">
        <x:f>IF(AND(L207&lt;&gt;"",L207&lt;&gt;0,M207&lt;&gt;""),M207/L207,"")</x:f>
        <x:v>0.9158878504672897</x:v>
      </x:c>
      <x:c r="R207" s="45" t="n">
        <x:f>IF(N207&lt;&gt;"",N207,IF(O207&lt;&gt;"",O207,""))</x:f>
        <x:v>1.439252336448598</x:v>
      </x:c>
      <x:c r="S207" s="2" t="str">
        <x:f>IF(N207&lt;&gt;"","志愿/合格",IF(O207&lt;&gt;"","受验/合格",""))</x:f>
        <x:v>志愿/合格</x:v>
      </x:c>
      <x:c r="T207" s="2" t="str">
        <x:v>官方</x:v>
      </x:c>
      <x:c r="U207" s="2" t="str">
        <x:v>高</x:v>
      </x:c>
      <x:c r="V207" s="27" t="str">
        <x:v>大学院入学・進学試験実施状況 | 名古屋大学大学院理学研究科</x:v>
      </x:c>
      <x:c r="W207" s="27" t="str">
        <x:v>2024年度「博士前期課程」表／物理科学領域行</x:v>
      </x:c>
      <x:c r="X207" s="27" t="str">
        <x:v>https://www.sci.nagoya-u.ac.jp/admission/past-entry/</x:v>
      </x:c>
      <x:c r="Y207" s="27" t="str">
        <x:v>理学専攻内の領域単位。物理学教室に対応。</x:v>
      </x:c>
      <x:c r="Z207" s="47" t="str">
        <x:v>受験者数は非掲載。</x:v>
      </x:c>
    </x:row>
    <x:row r="208" ht="38" customHeight="1">
      <x:c r="A208" s="2" t="str">
        <x:v>名古屋大学</x:v>
      </x:c>
      <x:c r="B208" s="2" t="str">
        <x:v>理学研究科</x:v>
      </x:c>
      <x:c r="C208" s="2" t="str">
        <x:v>理学専攻 物理科学領域</x:v>
      </x:c>
      <x:c r="D208" s="44" t="n">
        <x:v>2025</x:v>
      </x:c>
      <x:c r="E208" s="27" t="str">
        <x:v>春期入学・年度合計</x:v>
      </x:c>
      <x:c r="F208" s="27" t="str">
        <x:v>博士前期課程</x:v>
      </x:c>
      <x:c r="G208" s="27" t="str">
        <x:v>領域別公表合計</x:v>
      </x:c>
      <x:c r="H208" s="27" t="str">
        <x:v>课程/分野</x:v>
      </x:c>
      <x:c r="I208" s="44" t="n">
        <x:v>96</x:v>
      </x:c>
      <x:c r="J208" s="44" t="n">
        <x:v>176</x:v>
      </x:c>
      <x:c r="K208" s="44"/>
      <x:c r="L208" s="44" t="n">
        <x:v>110</x:v>
      </x:c>
      <x:c r="M208" s="44" t="n">
        <x:v>100</x:v>
      </x:c>
      <x:c r="N208" s="45" t="n">
        <x:f>IF(AND(J208&lt;&gt;"",L208&lt;&gt;0),J208/L208,"")</x:f>
        <x:v>1.6</x:v>
      </x:c>
      <x:c r="O208" s="45" t="str">
        <x:f>IF(AND(K208&lt;&gt;"",L208&lt;&gt;0),K208/L208,"")</x:f>
      </x:c>
      <x:c r="P208" s="46" t="str">
        <x:f>IF(AND(K208&lt;&gt;"",K208&lt;&gt;0,L208&lt;&gt;""),L208/K208,"")</x:f>
      </x:c>
      <x:c r="Q208" s="46" t="n">
        <x:f>IF(AND(L208&lt;&gt;"",L208&lt;&gt;0,M208&lt;&gt;""),M208/L208,"")</x:f>
        <x:v>0.9090909090909091</x:v>
      </x:c>
      <x:c r="R208" s="45" t="n">
        <x:f>IF(N208&lt;&gt;"",N208,IF(O208&lt;&gt;"",O208,""))</x:f>
        <x:v>1.6</x:v>
      </x:c>
      <x:c r="S208" s="2" t="str">
        <x:f>IF(N208&lt;&gt;"","志愿/合格",IF(O208&lt;&gt;"","受验/合格",""))</x:f>
        <x:v>志愿/合格</x:v>
      </x:c>
      <x:c r="T208" s="2" t="str">
        <x:v>官方</x:v>
      </x:c>
      <x:c r="U208" s="2" t="str">
        <x:v>高</x:v>
      </x:c>
      <x:c r="V208" s="27" t="str">
        <x:v>大学院入学・進学試験実施状況 | 名古屋大学大学院理学研究科</x:v>
      </x:c>
      <x:c r="W208" s="27" t="str">
        <x:v>2025年度「博士前期課程」表／物理科学領域行</x:v>
      </x:c>
      <x:c r="X208" s="27" t="str">
        <x:v>https://www.sci.nagoya-u.ac.jp/admission/past-entry/</x:v>
      </x:c>
      <x:c r="Y208" s="27" t="str">
        <x:v>理学専攻内の領域単位。物理学教室に対応。</x:v>
      </x:c>
      <x:c r="Z208" s="47" t="str">
        <x:v>受験者数は非掲載。</x:v>
      </x:c>
    </x:row>
    <x:row r="209" ht="38" customHeight="1">
      <x:c r="A209" s="2" t="str">
        <x:v>名古屋大学</x:v>
      </x:c>
      <x:c r="B209" s="2" t="str">
        <x:v>理学研究科</x:v>
      </x:c>
      <x:c r="C209" s="2" t="str">
        <x:v>理学専攻 物理科学領域</x:v>
      </x:c>
      <x:c r="D209" s="44" t="n">
        <x:v>2026</x:v>
      </x:c>
      <x:c r="E209" s="27" t="str">
        <x:v>春期入学・年度合計</x:v>
      </x:c>
      <x:c r="F209" s="27" t="str">
        <x:v>博士前期課程</x:v>
      </x:c>
      <x:c r="G209" s="27" t="str">
        <x:v>領域別公表合計</x:v>
      </x:c>
      <x:c r="H209" s="27" t="str">
        <x:v>课程/分野</x:v>
      </x:c>
      <x:c r="I209" s="44" t="n">
        <x:v>96</x:v>
      </x:c>
      <x:c r="J209" s="44" t="n">
        <x:v>222</x:v>
      </x:c>
      <x:c r="K209" s="44"/>
      <x:c r="L209" s="44" t="n">
        <x:v>119</x:v>
      </x:c>
      <x:c r="M209" s="44" t="n">
        <x:v>100</x:v>
      </x:c>
      <x:c r="N209" s="45" t="n">
        <x:f>IF(AND(J209&lt;&gt;"",L209&lt;&gt;0),J209/L209,"")</x:f>
        <x:v>1.865546218487395</x:v>
      </x:c>
      <x:c r="O209" s="45" t="str">
        <x:f>IF(AND(K209&lt;&gt;"",L209&lt;&gt;0),K209/L209,"")</x:f>
      </x:c>
      <x:c r="P209" s="46" t="str">
        <x:f>IF(AND(K209&lt;&gt;"",K209&lt;&gt;0,L209&lt;&gt;""),L209/K209,"")</x:f>
      </x:c>
      <x:c r="Q209" s="46" t="n">
        <x:f>IF(AND(L209&lt;&gt;"",L209&lt;&gt;0,M209&lt;&gt;""),M209/L209,"")</x:f>
        <x:v>0.8403361344537815</x:v>
      </x:c>
      <x:c r="R209" s="45" t="n">
        <x:f>IF(N209&lt;&gt;"",N209,IF(O209&lt;&gt;"",O209,""))</x:f>
        <x:v>1.865546218487395</x:v>
      </x:c>
      <x:c r="S209" s="2" t="str">
        <x:f>IF(N209&lt;&gt;"","志愿/合格",IF(O209&lt;&gt;"","受验/合格",""))</x:f>
        <x:v>志愿/合格</x:v>
      </x:c>
      <x:c r="T209" s="2" t="str">
        <x:v>官方</x:v>
      </x:c>
      <x:c r="U209" s="2" t="str">
        <x:v>高</x:v>
      </x:c>
      <x:c r="V209" s="27" t="str">
        <x:v>大学院入学・進学試験実施状況 | 名古屋大学大学院理学研究科</x:v>
      </x:c>
      <x:c r="W209" s="27" t="str">
        <x:v>2026年度「博士前期課程」表／物理科学領域行</x:v>
      </x:c>
      <x:c r="X209" s="27" t="str">
        <x:v>https://www.sci.nagoya-u.ac.jp/admission/past-entry/</x:v>
      </x:c>
      <x:c r="Y209" s="27" t="str">
        <x:v>理学専攻内の領域単位。物理学教室に対応。</x:v>
      </x:c>
      <x:c r="Z209" s="47" t="str">
        <x:v>受験者数は非掲載。</x:v>
      </x:c>
    </x:row>
    <x:row r="210" ht="38" customHeight="1">
      <x:c r="A210" s="2" t="str">
        <x:v>東京科学大学（旧・東京工業大学）</x:v>
      </x:c>
      <x:c r="B210" s="2" t="str">
        <x:v>環境・社会理工学院</x:v>
      </x:c>
      <x:c r="C210" s="2" t="str">
        <x:v>土木・環境工学系</x:v>
      </x:c>
      <x:c r="D210" s="44" t="n">
        <x:v>2022</x:v>
      </x:c>
      <x:c r="E210" s="27" t="str">
        <x:v>2022年4月・2021年9月入学合計</x:v>
      </x:c>
      <x:c r="F210" s="27" t="str">
        <x:v>修士課程</x:v>
      </x:c>
      <x:c r="G210" s="27" t="str">
        <x:v>系別公表値（特別選考等の除外あり）</x:v>
      </x:c>
      <x:c r="H210" s="27" t="str">
        <x:v>专攻/系</x:v>
      </x:c>
      <x:c r="I210" s="44"/>
      <x:c r="J210" s="44" t="n">
        <x:v>78</x:v>
      </x:c>
      <x:c r="K210" s="44"/>
      <x:c r="L210" s="44" t="n">
        <x:v>54</x:v>
      </x:c>
      <x:c r="M210" s="44"/>
      <x:c r="N210" s="45" t="n">
        <x:f>IF(AND(J210&lt;&gt;"",L210&lt;&gt;0),J210/L210,"")</x:f>
        <x:v>1.4444444444444444</x:v>
      </x:c>
      <x:c r="O210" s="45" t="str">
        <x:f>IF(AND(K210&lt;&gt;"",L210&lt;&gt;0),K210/L210,"")</x:f>
      </x:c>
      <x:c r="P210" s="46" t="str">
        <x:f>IF(AND(K210&lt;&gt;"",K210&lt;&gt;0,L210&lt;&gt;""),L210/K210,"")</x:f>
      </x:c>
      <x:c r="Q210" s="46" t="str">
        <x:f>IF(AND(L210&lt;&gt;"",L210&lt;&gt;0,M210&lt;&gt;""),M210/L210,"")</x:f>
      </x:c>
      <x:c r="R210" s="45" t="n">
        <x:f>IF(N210&lt;&gt;"",N210,IF(O210&lt;&gt;"",O210,""))</x:f>
        <x:v>1.4444444444444444</x:v>
      </x:c>
      <x:c r="S210" s="2" t="str">
        <x:f>IF(N210&lt;&gt;"","志愿/合格",IF(O210&lt;&gt;"","受验/合格",""))</x:f>
        <x:v>志愿/合格</x:v>
      </x:c>
      <x:c r="T210" s="2" t="str">
        <x:v>官方</x:v>
      </x:c>
      <x:c r="U210" s="2" t="str">
        <x:v>高</x:v>
      </x:c>
      <x:c r="V210" s="27" t="str">
        <x:v>2022年4月入学及び2021年9月入学 東京工業大学大学院修士課程・専門職学位課程入学試験結果</x:v>
      </x:c>
      <x:c r="W210" s="27" t="str">
        <x:v>PDF p.1「系別」表／土木・環境工学系行</x:v>
      </x:c>
      <x:c r="X210" s="27" t="str">
        <x:v>https://admissions.isct.ac.jp/plugins/cms/component_download_file.php?contentsDataId=&amp;contentsId=&amp;fileName=2022-record-master&amp;key=43bb683af1f294642c21703b15823643.pdf&amp;pageId=3284&amp;prevId=&amp;type=1</x:v>
      </x:c>
      <x:c r="Y210" s="27" t="str">
        <x:v>学院合計ではなく、当該「系」の行。</x:v>
      </x:c>
      <x:c r="Z210"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11" ht="38" customHeight="1">
      <x:c r="A211" s="2" t="str">
        <x:v>東京科学大学（旧・東京工業大学）</x:v>
      </x:c>
      <x:c r="B211" s="2" t="str">
        <x:v>環境・社会理工学院</x:v>
      </x:c>
      <x:c r="C211" s="2" t="str">
        <x:v>土木・環境工学系</x:v>
      </x:c>
      <x:c r="D211" s="44" t="n">
        <x:v>2023</x:v>
      </x:c>
      <x:c r="E211" s="27" t="str">
        <x:v>2023年4月・2022年9月入学合計</x:v>
      </x:c>
      <x:c r="F211" s="27" t="str">
        <x:v>修士課程</x:v>
      </x:c>
      <x:c r="G211" s="27" t="str">
        <x:v>系別公表値（特別選考等の除外あり）</x:v>
      </x:c>
      <x:c r="H211" s="27" t="str">
        <x:v>专攻/系</x:v>
      </x:c>
      <x:c r="I211" s="44"/>
      <x:c r="J211" s="44" t="n">
        <x:v>70</x:v>
      </x:c>
      <x:c r="K211" s="44"/>
      <x:c r="L211" s="44" t="n">
        <x:v>52</x:v>
      </x:c>
      <x:c r="M211" s="44"/>
      <x:c r="N211" s="45" t="n">
        <x:f>IF(AND(J211&lt;&gt;"",L211&lt;&gt;0),J211/L211,"")</x:f>
        <x:v>1.3461538461538463</x:v>
      </x:c>
      <x:c r="O211" s="45" t="str">
        <x:f>IF(AND(K211&lt;&gt;"",L211&lt;&gt;0),K211/L211,"")</x:f>
      </x:c>
      <x:c r="P211" s="46" t="str">
        <x:f>IF(AND(K211&lt;&gt;"",K211&lt;&gt;0,L211&lt;&gt;""),L211/K211,"")</x:f>
      </x:c>
      <x:c r="Q211" s="46" t="str">
        <x:f>IF(AND(L211&lt;&gt;"",L211&lt;&gt;0,M211&lt;&gt;""),M211/L211,"")</x:f>
      </x:c>
      <x:c r="R211" s="45" t="n">
        <x:f>IF(N211&lt;&gt;"",N211,IF(O211&lt;&gt;"",O211,""))</x:f>
        <x:v>1.3461538461538463</x:v>
      </x:c>
      <x:c r="S211" s="2" t="str">
        <x:f>IF(N211&lt;&gt;"","志愿/合格",IF(O211&lt;&gt;"","受验/合格",""))</x:f>
        <x:v>志愿/合格</x:v>
      </x:c>
      <x:c r="T211" s="2" t="str">
        <x:v>官方</x:v>
      </x:c>
      <x:c r="U211" s="2" t="str">
        <x:v>高</x:v>
      </x:c>
      <x:c r="V211" s="27" t="str">
        <x:v>2023年4月入学及び2022年9月入学 東京工業大学大学院修士課程・専門職学位課程入学試験結果</x:v>
      </x:c>
      <x:c r="W211" s="27" t="str">
        <x:v>PDF p.1「系別」表／土木・環境工学系行</x:v>
      </x:c>
      <x:c r="X211" s="27" t="str">
        <x:v>https://admissions.isct.ac.jp/plugins/cms/component_download_file.php?contentsDataId=&amp;contentsId=&amp;fileName=2023-record-master&amp;key=c8b346e6ebcd7e97a3ed00de3bfcbb7b.pdf&amp;pageId=3284&amp;prevId=&amp;type=1</x:v>
      </x:c>
      <x:c r="Y211" s="27" t="str">
        <x:v>学院合計ではなく、当該「系」の行。</x:v>
      </x:c>
      <x:c r="Z211"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12" ht="38" customHeight="1">
      <x:c r="A212" s="2" t="str">
        <x:v>東京科学大学（旧・東京工業大学）</x:v>
      </x:c>
      <x:c r="B212" s="2" t="str">
        <x:v>環境・社会理工学院</x:v>
      </x:c>
      <x:c r="C212" s="2" t="str">
        <x:v>土木・環境工学系</x:v>
      </x:c>
      <x:c r="D212" s="44" t="n">
        <x:v>2024</x:v>
      </x:c>
      <x:c r="E212" s="27" t="str">
        <x:v>2024年4月・2023年9月入学合計</x:v>
      </x:c>
      <x:c r="F212" s="27" t="str">
        <x:v>修士課程</x:v>
      </x:c>
      <x:c r="G212" s="27" t="str">
        <x:v>系別公表値（特別選考等の除外あり）</x:v>
      </x:c>
      <x:c r="H212" s="27" t="str">
        <x:v>专攻/系</x:v>
      </x:c>
      <x:c r="I212" s="44"/>
      <x:c r="J212" s="44" t="n">
        <x:v>80</x:v>
      </x:c>
      <x:c r="K212" s="44"/>
      <x:c r="L212" s="44" t="n">
        <x:v>52</x:v>
      </x:c>
      <x:c r="M212" s="44"/>
      <x:c r="N212" s="45" t="n">
        <x:f>IF(AND(J212&lt;&gt;"",L212&lt;&gt;0),J212/L212,"")</x:f>
        <x:v>1.5384615384615385</x:v>
      </x:c>
      <x:c r="O212" s="45" t="str">
        <x:f>IF(AND(K212&lt;&gt;"",L212&lt;&gt;0),K212/L212,"")</x:f>
      </x:c>
      <x:c r="P212" s="46" t="str">
        <x:f>IF(AND(K212&lt;&gt;"",K212&lt;&gt;0,L212&lt;&gt;""),L212/K212,"")</x:f>
      </x:c>
      <x:c r="Q212" s="46" t="str">
        <x:f>IF(AND(L212&lt;&gt;"",L212&lt;&gt;0,M212&lt;&gt;""),M212/L212,"")</x:f>
      </x:c>
      <x:c r="R212" s="45" t="n">
        <x:f>IF(N212&lt;&gt;"",N212,IF(O212&lt;&gt;"",O212,""))</x:f>
        <x:v>1.5384615384615385</x:v>
      </x:c>
      <x:c r="S212" s="2" t="str">
        <x:f>IF(N212&lt;&gt;"","志愿/合格",IF(O212&lt;&gt;"","受验/合格",""))</x:f>
        <x:v>志愿/合格</x:v>
      </x:c>
      <x:c r="T212" s="2" t="str">
        <x:v>官方</x:v>
      </x:c>
      <x:c r="U212" s="2" t="str">
        <x:v>高</x:v>
      </x:c>
      <x:c r="V212" s="27" t="str">
        <x:v>2024年4月入学及び2023年9月入学 東京工業大学大学院修士課程・専門職学位課程入学試験結果</x:v>
      </x:c>
      <x:c r="W212" s="27" t="str">
        <x:v>PDF p.1「系別」表／土木・環境工学系行</x:v>
      </x:c>
      <x:c r="X212" s="27" t="str">
        <x:v>https://admissions.isct.ac.jp/plugins/cms/component_download_file.php?contentsDataId=&amp;contentsId=&amp;fileName=2024_record_master&amp;key=8d378f7061bc18ecfeb418efcbf2c515.pdf&amp;pageId=3284&amp;prevId=&amp;type=1</x:v>
      </x:c>
      <x:c r="Y212" s="27" t="str">
        <x:v>学院合計ではなく、当該「系」の行。</x:v>
      </x:c>
      <x:c r="Z212"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13" ht="38" customHeight="1">
      <x:c r="A213" s="2" t="str">
        <x:v>東京科学大学（旧・東京工業大学）</x:v>
      </x:c>
      <x:c r="B213" s="2" t="str">
        <x:v>環境・社会理工学院</x:v>
      </x:c>
      <x:c r="C213" s="2" t="str">
        <x:v>土木・環境工学系</x:v>
      </x:c>
      <x:c r="D213" s="44" t="n">
        <x:v>2025</x:v>
      </x:c>
      <x:c r="E213" s="27" t="str">
        <x:v>2025年4月・2024年9月入学合計</x:v>
      </x:c>
      <x:c r="F213" s="27" t="str">
        <x:v>修士課程</x:v>
      </x:c>
      <x:c r="G213" s="27" t="str">
        <x:v>系別公表値（特別選考等の除外あり）</x:v>
      </x:c>
      <x:c r="H213" s="27" t="str">
        <x:v>专攻/系</x:v>
      </x:c>
      <x:c r="I213" s="44"/>
      <x:c r="J213" s="44" t="n">
        <x:v>80</x:v>
      </x:c>
      <x:c r="K213" s="44"/>
      <x:c r="L213" s="44" t="n">
        <x:v>50</x:v>
      </x:c>
      <x:c r="M213" s="44"/>
      <x:c r="N213" s="45" t="n">
        <x:f>IF(AND(J213&lt;&gt;"",L213&lt;&gt;0),J213/L213,"")</x:f>
        <x:v>1.6</x:v>
      </x:c>
      <x:c r="O213" s="45" t="str">
        <x:f>IF(AND(K213&lt;&gt;"",L213&lt;&gt;0),K213/L213,"")</x:f>
      </x:c>
      <x:c r="P213" s="46" t="str">
        <x:f>IF(AND(K213&lt;&gt;"",K213&lt;&gt;0,L213&lt;&gt;""),L213/K213,"")</x:f>
      </x:c>
      <x:c r="Q213" s="46" t="str">
        <x:f>IF(AND(L213&lt;&gt;"",L213&lt;&gt;0,M213&lt;&gt;""),M213/L213,"")</x:f>
      </x:c>
      <x:c r="R213" s="45" t="n">
        <x:f>IF(N213&lt;&gt;"",N213,IF(O213&lt;&gt;"",O213,""))</x:f>
        <x:v>1.6</x:v>
      </x:c>
      <x:c r="S213" s="2" t="str">
        <x:f>IF(N213&lt;&gt;"","志愿/合格",IF(O213&lt;&gt;"","受验/合格",""))</x:f>
        <x:v>志愿/合格</x:v>
      </x:c>
      <x:c r="T213" s="2" t="str">
        <x:v>官方</x:v>
      </x:c>
      <x:c r="U213" s="2" t="str">
        <x:v>高</x:v>
      </x:c>
      <x:c r="V213" s="27" t="str">
        <x:v>2025年4月入学及び2024年9月入学 東京科学大学大学院修士課程・専門職学位課程入学試験結果</x:v>
      </x:c>
      <x:c r="W213" s="27" t="str">
        <x:v>PDF p.1「系別」表／土木・環境工学系行</x:v>
      </x:c>
      <x:c r="X213" s="27" t="str">
        <x:v>https://admissions.isct.ac.jp/plugins/cms/component_download_file.php?contentsDataId=&amp;contentsId=&amp;fileName=2025_record_master&amp;key=ba0f61bd956e12e9d0a3006c2c3231b3.pdf&amp;pageId=3284&amp;prevId=&amp;type=1</x:v>
      </x:c>
      <x:c r="Y213" s="27" t="str">
        <x:v>学院合計ではなく、当該「系」の行。</x:v>
      </x:c>
      <x:c r="Z213"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14" ht="38" customHeight="1">
      <x:c r="A214" s="2" t="str">
        <x:v>東京科学大学（旧・東京工業大学）</x:v>
      </x:c>
      <x:c r="B214" s="2" t="str">
        <x:v>環境・社会理工学院</x:v>
      </x:c>
      <x:c r="C214" s="2" t="str">
        <x:v>土木・環境工学系</x:v>
      </x:c>
      <x:c r="D214" s="44" t="n">
        <x:v>2026</x:v>
      </x:c>
      <x:c r="E214" s="27" t="str">
        <x:v>2026年4月・2025年9月入学合計</x:v>
      </x:c>
      <x:c r="F214" s="27" t="str">
        <x:v>修士課程</x:v>
      </x:c>
      <x:c r="G214" s="27" t="str">
        <x:v>系別公表値（特別選考等の除外あり）</x:v>
      </x:c>
      <x:c r="H214" s="27" t="str">
        <x:v>专攻/系</x:v>
      </x:c>
      <x:c r="I214" s="44"/>
      <x:c r="J214" s="44" t="n">
        <x:v>67</x:v>
      </x:c>
      <x:c r="K214" s="44"/>
      <x:c r="L214" s="44" t="n">
        <x:v>50</x:v>
      </x:c>
      <x:c r="M214" s="44"/>
      <x:c r="N214" s="45" t="n">
        <x:f>IF(AND(J214&lt;&gt;"",L214&lt;&gt;0),J214/L214,"")</x:f>
        <x:v>1.34</x:v>
      </x:c>
      <x:c r="O214" s="45" t="str">
        <x:f>IF(AND(K214&lt;&gt;"",L214&lt;&gt;0),K214/L214,"")</x:f>
      </x:c>
      <x:c r="P214" s="46" t="str">
        <x:f>IF(AND(K214&lt;&gt;"",K214&lt;&gt;0,L214&lt;&gt;""),L214/K214,"")</x:f>
      </x:c>
      <x:c r="Q214" s="46" t="str">
        <x:f>IF(AND(L214&lt;&gt;"",L214&lt;&gt;0,M214&lt;&gt;""),M214/L214,"")</x:f>
      </x:c>
      <x:c r="R214" s="45" t="n">
        <x:f>IF(N214&lt;&gt;"",N214,IF(O214&lt;&gt;"",O214,""))</x:f>
        <x:v>1.34</x:v>
      </x:c>
      <x:c r="S214" s="2" t="str">
        <x:f>IF(N214&lt;&gt;"","志愿/合格",IF(O214&lt;&gt;"","受验/合格",""))</x:f>
        <x:v>志愿/合格</x:v>
      </x:c>
      <x:c r="T214" s="2" t="str">
        <x:v>官方</x:v>
      </x:c>
      <x:c r="U214" s="2" t="str">
        <x:v>高</x:v>
      </x:c>
      <x:c r="V214" s="27" t="str">
        <x:v>2026年4月入学及び2025年9月入学 東京科学大学大学院修士課程・専門職学位課程入学試験結果</x:v>
      </x:c>
      <x:c r="W214" s="27" t="str">
        <x:v>PDF p.1「系別」表／土木・環境工学系行</x:v>
      </x:c>
      <x:c r="X214" s="27" t="str">
        <x:v>https://admissions.isct.ac.jp/plugins/cms/component_download_file.php?contentsDataId=&amp;contentsId=&amp;fileName=2026_record_master&amp;key=88014858637abe4c910ab16731dd187d.pdf&amp;pageId=3284&amp;prevId=&amp;type=1</x:v>
      </x:c>
      <x:c r="Y214" s="27" t="str">
        <x:v>学院合計ではなく、当該「系」の行。</x:v>
      </x:c>
      <x:c r="Z214"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15" ht="38" customHeight="1">
      <x:c r="A215" s="2" t="str">
        <x:v>東京科学大学（旧・東京工業大学）</x:v>
      </x:c>
      <x:c r="B215" s="2" t="str">
        <x:v>環境・社会理工学院</x:v>
      </x:c>
      <x:c r="C215" s="2" t="str">
        <x:v>融合理工学系</x:v>
      </x:c>
      <x:c r="D215" s="44" t="n">
        <x:v>2022</x:v>
      </x:c>
      <x:c r="E215" s="27" t="str">
        <x:v>2022年4月・2021年9月入学合計</x:v>
      </x:c>
      <x:c r="F215" s="27" t="str">
        <x:v>修士課程</x:v>
      </x:c>
      <x:c r="G215" s="27" t="str">
        <x:v>系別公表値（特別選考等の除外あり）</x:v>
      </x:c>
      <x:c r="H215" s="27" t="str">
        <x:v>专攻/系</x:v>
      </x:c>
      <x:c r="I215" s="44"/>
      <x:c r="J215" s="44" t="n">
        <x:v>119</x:v>
      </x:c>
      <x:c r="K215" s="44"/>
      <x:c r="L215" s="44" t="n">
        <x:v>101</x:v>
      </x:c>
      <x:c r="M215" s="44"/>
      <x:c r="N215" s="45" t="n">
        <x:f>IF(AND(J215&lt;&gt;"",L215&lt;&gt;0),J215/L215,"")</x:f>
        <x:v>1.1782178217821782</x:v>
      </x:c>
      <x:c r="O215" s="45" t="str">
        <x:f>IF(AND(K215&lt;&gt;"",L215&lt;&gt;0),K215/L215,"")</x:f>
      </x:c>
      <x:c r="P215" s="46" t="str">
        <x:f>IF(AND(K215&lt;&gt;"",K215&lt;&gt;0,L215&lt;&gt;""),L215/K215,"")</x:f>
      </x:c>
      <x:c r="Q215" s="46" t="str">
        <x:f>IF(AND(L215&lt;&gt;"",L215&lt;&gt;0,M215&lt;&gt;""),M215/L215,"")</x:f>
      </x:c>
      <x:c r="R215" s="45" t="n">
        <x:f>IF(N215&lt;&gt;"",N215,IF(O215&lt;&gt;"",O215,""))</x:f>
        <x:v>1.1782178217821782</x:v>
      </x:c>
      <x:c r="S215" s="2" t="str">
        <x:f>IF(N215&lt;&gt;"","志愿/合格",IF(O215&lt;&gt;"","受验/合格",""))</x:f>
        <x:v>志愿/合格</x:v>
      </x:c>
      <x:c r="T215" s="2" t="str">
        <x:v>官方</x:v>
      </x:c>
      <x:c r="U215" s="2" t="str">
        <x:v>高</x:v>
      </x:c>
      <x:c r="V215" s="27" t="str">
        <x:v>2022年4月入学及び2021年9月入学 東京工業大学大学院修士課程・専門職学位課程入学試験結果</x:v>
      </x:c>
      <x:c r="W215" s="27" t="str">
        <x:v>PDF p.1「系別」表／融合理工学系行</x:v>
      </x:c>
      <x:c r="X215" s="27" t="str">
        <x:v>https://admissions.isct.ac.jp/plugins/cms/component_download_file.php?contentsDataId=&amp;contentsId=&amp;fileName=2022-record-master&amp;key=43bb683af1f294642c21703b15823643.pdf&amp;pageId=3284&amp;prevId=&amp;type=1</x:v>
      </x:c>
      <x:c r="Y215" s="27" t="str">
        <x:v>学院合計ではなく、当該「系」の行。</x:v>
      </x:c>
      <x:c r="Z215"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16" ht="38" customHeight="1">
      <x:c r="A216" s="2" t="str">
        <x:v>東京科学大学（旧・東京工業大学）</x:v>
      </x:c>
      <x:c r="B216" s="2" t="str">
        <x:v>環境・社会理工学院</x:v>
      </x:c>
      <x:c r="C216" s="2" t="str">
        <x:v>融合理工学系</x:v>
      </x:c>
      <x:c r="D216" s="44" t="n">
        <x:v>2023</x:v>
      </x:c>
      <x:c r="E216" s="27" t="str">
        <x:v>2023年4月・2022年9月入学合計</x:v>
      </x:c>
      <x:c r="F216" s="27" t="str">
        <x:v>修士課程</x:v>
      </x:c>
      <x:c r="G216" s="27" t="str">
        <x:v>系別公表値（特別選考等の除外あり）</x:v>
      </x:c>
      <x:c r="H216" s="27" t="str">
        <x:v>专攻/系</x:v>
      </x:c>
      <x:c r="I216" s="44"/>
      <x:c r="J216" s="44" t="n">
        <x:v>150</x:v>
      </x:c>
      <x:c r="K216" s="44"/>
      <x:c r="L216" s="44" t="n">
        <x:v>100</x:v>
      </x:c>
      <x:c r="M216" s="44"/>
      <x:c r="N216" s="45" t="n">
        <x:f>IF(AND(J216&lt;&gt;"",L216&lt;&gt;0),J216/L216,"")</x:f>
        <x:v>1.5</x:v>
      </x:c>
      <x:c r="O216" s="45" t="str">
        <x:f>IF(AND(K216&lt;&gt;"",L216&lt;&gt;0),K216/L216,"")</x:f>
      </x:c>
      <x:c r="P216" s="46" t="str">
        <x:f>IF(AND(K216&lt;&gt;"",K216&lt;&gt;0,L216&lt;&gt;""),L216/K216,"")</x:f>
      </x:c>
      <x:c r="Q216" s="46" t="str">
        <x:f>IF(AND(L216&lt;&gt;"",L216&lt;&gt;0,M216&lt;&gt;""),M216/L216,"")</x:f>
      </x:c>
      <x:c r="R216" s="45" t="n">
        <x:f>IF(N216&lt;&gt;"",N216,IF(O216&lt;&gt;"",O216,""))</x:f>
        <x:v>1.5</x:v>
      </x:c>
      <x:c r="S216" s="2" t="str">
        <x:f>IF(N216&lt;&gt;"","志愿/合格",IF(O216&lt;&gt;"","受验/合格",""))</x:f>
        <x:v>志愿/合格</x:v>
      </x:c>
      <x:c r="T216" s="2" t="str">
        <x:v>官方</x:v>
      </x:c>
      <x:c r="U216" s="2" t="str">
        <x:v>高</x:v>
      </x:c>
      <x:c r="V216" s="27" t="str">
        <x:v>2023年4月入学及び2022年9月入学 東京工業大学大学院修士課程・専門職学位課程入学試験結果</x:v>
      </x:c>
      <x:c r="W216" s="27" t="str">
        <x:v>PDF p.1「系別」表／融合理工学系行</x:v>
      </x:c>
      <x:c r="X216" s="27" t="str">
        <x:v>https://admissions.isct.ac.jp/plugins/cms/component_download_file.php?contentsDataId=&amp;contentsId=&amp;fileName=2023-record-master&amp;key=c8b346e6ebcd7e97a3ed00de3bfcbb7b.pdf&amp;pageId=3284&amp;prevId=&amp;type=1</x:v>
      </x:c>
      <x:c r="Y216" s="27" t="str">
        <x:v>学院合計ではなく、当該「系」の行。</x:v>
      </x:c>
      <x:c r="Z216"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17" ht="38" customHeight="1">
      <x:c r="A217" s="2" t="str">
        <x:v>東京科学大学（旧・東京工業大学）</x:v>
      </x:c>
      <x:c r="B217" s="2" t="str">
        <x:v>環境・社会理工学院</x:v>
      </x:c>
      <x:c r="C217" s="2" t="str">
        <x:v>融合理工学系</x:v>
      </x:c>
      <x:c r="D217" s="44" t="n">
        <x:v>2024</x:v>
      </x:c>
      <x:c r="E217" s="27" t="str">
        <x:v>2024年4月・2023年9月入学合計</x:v>
      </x:c>
      <x:c r="F217" s="27" t="str">
        <x:v>修士課程</x:v>
      </x:c>
      <x:c r="G217" s="27" t="str">
        <x:v>系別公表値（特別選考等の除外あり）</x:v>
      </x:c>
      <x:c r="H217" s="27" t="str">
        <x:v>专攻/系</x:v>
      </x:c>
      <x:c r="I217" s="44"/>
      <x:c r="J217" s="44" t="n">
        <x:v>121</x:v>
      </x:c>
      <x:c r="K217" s="44"/>
      <x:c r="L217" s="44" t="n">
        <x:v>98</x:v>
      </x:c>
      <x:c r="M217" s="44"/>
      <x:c r="N217" s="45" t="n">
        <x:f>IF(AND(J217&lt;&gt;"",L217&lt;&gt;0),J217/L217,"")</x:f>
        <x:v>1.2346938775510203</x:v>
      </x:c>
      <x:c r="O217" s="45" t="str">
        <x:f>IF(AND(K217&lt;&gt;"",L217&lt;&gt;0),K217/L217,"")</x:f>
      </x:c>
      <x:c r="P217" s="46" t="str">
        <x:f>IF(AND(K217&lt;&gt;"",K217&lt;&gt;0,L217&lt;&gt;""),L217/K217,"")</x:f>
      </x:c>
      <x:c r="Q217" s="46" t="str">
        <x:f>IF(AND(L217&lt;&gt;"",L217&lt;&gt;0,M217&lt;&gt;""),M217/L217,"")</x:f>
      </x:c>
      <x:c r="R217" s="45" t="n">
        <x:f>IF(N217&lt;&gt;"",N217,IF(O217&lt;&gt;"",O217,""))</x:f>
        <x:v>1.2346938775510203</x:v>
      </x:c>
      <x:c r="S217" s="2" t="str">
        <x:f>IF(N217&lt;&gt;"","志愿/合格",IF(O217&lt;&gt;"","受验/合格",""))</x:f>
        <x:v>志愿/合格</x:v>
      </x:c>
      <x:c r="T217" s="2" t="str">
        <x:v>官方</x:v>
      </x:c>
      <x:c r="U217" s="2" t="str">
        <x:v>高</x:v>
      </x:c>
      <x:c r="V217" s="27" t="str">
        <x:v>2024年4月入学及び2023年9月入学 東京工業大学大学院修士課程・専門職学位課程入学試験結果</x:v>
      </x:c>
      <x:c r="W217" s="27" t="str">
        <x:v>PDF p.1「系別」表／融合理工学系行</x:v>
      </x:c>
      <x:c r="X217" s="27" t="str">
        <x:v>https://admissions.isct.ac.jp/plugins/cms/component_download_file.php?contentsDataId=&amp;contentsId=&amp;fileName=2024_record_master&amp;key=8d378f7061bc18ecfeb418efcbf2c515.pdf&amp;pageId=3284&amp;prevId=&amp;type=1</x:v>
      </x:c>
      <x:c r="Y217" s="27" t="str">
        <x:v>学院合計ではなく、当該「系」の行。</x:v>
      </x:c>
      <x:c r="Z217"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18" ht="38" customHeight="1">
      <x:c r="A218" s="2" t="str">
        <x:v>東京科学大学（旧・東京工業大学）</x:v>
      </x:c>
      <x:c r="B218" s="2" t="str">
        <x:v>環境・社会理工学院</x:v>
      </x:c>
      <x:c r="C218" s="2" t="str">
        <x:v>融合理工学系</x:v>
      </x:c>
      <x:c r="D218" s="44" t="n">
        <x:v>2025</x:v>
      </x:c>
      <x:c r="E218" s="27" t="str">
        <x:v>2025年4月・2024年9月入学合計</x:v>
      </x:c>
      <x:c r="F218" s="27" t="str">
        <x:v>修士課程</x:v>
      </x:c>
      <x:c r="G218" s="27" t="str">
        <x:v>系別公表値（特別選考等の除外あり）</x:v>
      </x:c>
      <x:c r="H218" s="27" t="str">
        <x:v>专攻/系</x:v>
      </x:c>
      <x:c r="I218" s="44"/>
      <x:c r="J218" s="44" t="n">
        <x:v>126</x:v>
      </x:c>
      <x:c r="K218" s="44"/>
      <x:c r="L218" s="44" t="n">
        <x:v>101</x:v>
      </x:c>
      <x:c r="M218" s="44"/>
      <x:c r="N218" s="45" t="n">
        <x:f>IF(AND(J218&lt;&gt;"",L218&lt;&gt;0),J218/L218,"")</x:f>
        <x:v>1.2475247524752475</x:v>
      </x:c>
      <x:c r="O218" s="45" t="str">
        <x:f>IF(AND(K218&lt;&gt;"",L218&lt;&gt;0),K218/L218,"")</x:f>
      </x:c>
      <x:c r="P218" s="46" t="str">
        <x:f>IF(AND(K218&lt;&gt;"",K218&lt;&gt;0,L218&lt;&gt;""),L218/K218,"")</x:f>
      </x:c>
      <x:c r="Q218" s="46" t="str">
        <x:f>IF(AND(L218&lt;&gt;"",L218&lt;&gt;0,M218&lt;&gt;""),M218/L218,"")</x:f>
      </x:c>
      <x:c r="R218" s="45" t="n">
        <x:f>IF(N218&lt;&gt;"",N218,IF(O218&lt;&gt;"",O218,""))</x:f>
        <x:v>1.2475247524752475</x:v>
      </x:c>
      <x:c r="S218" s="2" t="str">
        <x:f>IF(N218&lt;&gt;"","志愿/合格",IF(O218&lt;&gt;"","受验/合格",""))</x:f>
        <x:v>志愿/合格</x:v>
      </x:c>
      <x:c r="T218" s="2" t="str">
        <x:v>官方</x:v>
      </x:c>
      <x:c r="U218" s="2" t="str">
        <x:v>高</x:v>
      </x:c>
      <x:c r="V218" s="27" t="str">
        <x:v>2025年4月入学及び2024年9月入学 東京科学大学大学院修士課程・専門職学位課程入学試験結果</x:v>
      </x:c>
      <x:c r="W218" s="27" t="str">
        <x:v>PDF p.1「系別」表／融合理工学系行</x:v>
      </x:c>
      <x:c r="X218" s="27" t="str">
        <x:v>https://admissions.isct.ac.jp/plugins/cms/component_download_file.php?contentsDataId=&amp;contentsId=&amp;fileName=2025_record_master&amp;key=ba0f61bd956e12e9d0a3006c2c3231b3.pdf&amp;pageId=3284&amp;prevId=&amp;type=1</x:v>
      </x:c>
      <x:c r="Y218" s="27" t="str">
        <x:v>学院合計ではなく、当該「系」の行。</x:v>
      </x:c>
      <x:c r="Z218"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19" ht="38" customHeight="1">
      <x:c r="A219" s="2" t="str">
        <x:v>東京科学大学（旧・東京工業大学）</x:v>
      </x:c>
      <x:c r="B219" s="2" t="str">
        <x:v>環境・社会理工学院</x:v>
      </x:c>
      <x:c r="C219" s="2" t="str">
        <x:v>融合理工学系</x:v>
      </x:c>
      <x:c r="D219" s="44" t="n">
        <x:v>2026</x:v>
      </x:c>
      <x:c r="E219" s="27" t="str">
        <x:v>2026年4月・2025年9月入学合計</x:v>
      </x:c>
      <x:c r="F219" s="27" t="str">
        <x:v>修士課程</x:v>
      </x:c>
      <x:c r="G219" s="27" t="str">
        <x:v>系別公表値（特別選考等の除外あり）</x:v>
      </x:c>
      <x:c r="H219" s="27" t="str">
        <x:v>专攻/系</x:v>
      </x:c>
      <x:c r="I219" s="44"/>
      <x:c r="J219" s="44" t="n">
        <x:v>129</x:v>
      </x:c>
      <x:c r="K219" s="44"/>
      <x:c r="L219" s="44" t="n">
        <x:v>95</x:v>
      </x:c>
      <x:c r="M219" s="44"/>
      <x:c r="N219" s="45" t="n">
        <x:f>IF(AND(J219&lt;&gt;"",L219&lt;&gt;0),J219/L219,"")</x:f>
        <x:v>1.3578947368421053</x:v>
      </x:c>
      <x:c r="O219" s="45" t="str">
        <x:f>IF(AND(K219&lt;&gt;"",L219&lt;&gt;0),K219/L219,"")</x:f>
      </x:c>
      <x:c r="P219" s="46" t="str">
        <x:f>IF(AND(K219&lt;&gt;"",K219&lt;&gt;0,L219&lt;&gt;""),L219/K219,"")</x:f>
      </x:c>
      <x:c r="Q219" s="46" t="str">
        <x:f>IF(AND(L219&lt;&gt;"",L219&lt;&gt;0,M219&lt;&gt;""),M219/L219,"")</x:f>
      </x:c>
      <x:c r="R219" s="45" t="n">
        <x:f>IF(N219&lt;&gt;"",N219,IF(O219&lt;&gt;"",O219,""))</x:f>
        <x:v>1.3578947368421053</x:v>
      </x:c>
      <x:c r="S219" s="2" t="str">
        <x:f>IF(N219&lt;&gt;"","志愿/合格",IF(O219&lt;&gt;"","受验/合格",""))</x:f>
        <x:v>志愿/合格</x:v>
      </x:c>
      <x:c r="T219" s="2" t="str">
        <x:v>官方</x:v>
      </x:c>
      <x:c r="U219" s="2" t="str">
        <x:v>高</x:v>
      </x:c>
      <x:c r="V219" s="27" t="str">
        <x:v>2026年4月入学及び2025年9月入学 東京科学大学大学院修士課程・専門職学位課程入学試験結果</x:v>
      </x:c>
      <x:c r="W219" s="27" t="str">
        <x:v>PDF p.1「系別」表／融合理工学系行</x:v>
      </x:c>
      <x:c r="X219" s="27" t="str">
        <x:v>https://admissions.isct.ac.jp/plugins/cms/component_download_file.php?contentsDataId=&amp;contentsId=&amp;fileName=2026_record_master&amp;key=88014858637abe4c910ab16731dd187d.pdf&amp;pageId=3284&amp;prevId=&amp;type=1</x:v>
      </x:c>
      <x:c r="Y219" s="27" t="str">
        <x:v>学院合計ではなく、当該「系」の行。</x:v>
      </x:c>
      <x:c r="Z219"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20" ht="38" customHeight="1">
      <x:c r="A220" s="2" t="str">
        <x:v>東京科学大学（旧・東京工業大学）</x:v>
      </x:c>
      <x:c r="B220" s="2" t="str">
        <x:v>工学院</x:v>
      </x:c>
      <x:c r="C220" s="2" t="str">
        <x:v>システム制御系</x:v>
      </x:c>
      <x:c r="D220" s="44" t="n">
        <x:v>2022</x:v>
      </x:c>
      <x:c r="E220" s="27" t="str">
        <x:v>2022年4月・2021年9月入学合計</x:v>
      </x:c>
      <x:c r="F220" s="27" t="str">
        <x:v>修士課程</x:v>
      </x:c>
      <x:c r="G220" s="27" t="str">
        <x:v>系別公表値（特別選考等の除外あり）</x:v>
      </x:c>
      <x:c r="H220" s="27" t="str">
        <x:v>专攻/系</x:v>
      </x:c>
      <x:c r="I220" s="44"/>
      <x:c r="J220" s="44" t="n">
        <x:v>107</x:v>
      </x:c>
      <x:c r="K220" s="44"/>
      <x:c r="L220" s="44" t="n">
        <x:v>67</x:v>
      </x:c>
      <x:c r="M220" s="44"/>
      <x:c r="N220" s="45" t="n">
        <x:f>IF(AND(J220&lt;&gt;"",L220&lt;&gt;0),J220/L220,"")</x:f>
        <x:v>1.5970149253731343</x:v>
      </x:c>
      <x:c r="O220" s="45" t="str">
        <x:f>IF(AND(K220&lt;&gt;"",L220&lt;&gt;0),K220/L220,"")</x:f>
      </x:c>
      <x:c r="P220" s="46" t="str">
        <x:f>IF(AND(K220&lt;&gt;"",K220&lt;&gt;0,L220&lt;&gt;""),L220/K220,"")</x:f>
      </x:c>
      <x:c r="Q220" s="46" t="str">
        <x:f>IF(AND(L220&lt;&gt;"",L220&lt;&gt;0,M220&lt;&gt;""),M220/L220,"")</x:f>
      </x:c>
      <x:c r="R220" s="45" t="n">
        <x:f>IF(N220&lt;&gt;"",N220,IF(O220&lt;&gt;"",O220,""))</x:f>
        <x:v>1.5970149253731343</x:v>
      </x:c>
      <x:c r="S220" s="2" t="str">
        <x:f>IF(N220&lt;&gt;"","志愿/合格",IF(O220&lt;&gt;"","受验/合格",""))</x:f>
        <x:v>志愿/合格</x:v>
      </x:c>
      <x:c r="T220" s="2" t="str">
        <x:v>官方</x:v>
      </x:c>
      <x:c r="U220" s="2" t="str">
        <x:v>高</x:v>
      </x:c>
      <x:c r="V220" s="27" t="str">
        <x:v>2022年4月入学及び2021年9月入学 東京工業大学大学院修士課程・専門職学位課程入学試験結果</x:v>
      </x:c>
      <x:c r="W220" s="27" t="str">
        <x:v>PDF p.1「系別」表／システム制御系行</x:v>
      </x:c>
      <x:c r="X220" s="27" t="str">
        <x:v>https://admissions.isct.ac.jp/plugins/cms/component_download_file.php?contentsDataId=&amp;contentsId=&amp;fileName=2022-record-master&amp;key=43bb683af1f294642c21703b15823643.pdf&amp;pageId=3284&amp;prevId=&amp;type=1</x:v>
      </x:c>
      <x:c r="Y220" s="27" t="str">
        <x:v>学院合計ではなく、当該「系」の行。</x:v>
      </x:c>
      <x:c r="Z220"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21" ht="38" customHeight="1">
      <x:c r="A221" s="2" t="str">
        <x:v>東京科学大学（旧・東京工業大学）</x:v>
      </x:c>
      <x:c r="B221" s="2" t="str">
        <x:v>工学院</x:v>
      </x:c>
      <x:c r="C221" s="2" t="str">
        <x:v>システム制御系</x:v>
      </x:c>
      <x:c r="D221" s="44" t="n">
        <x:v>2023</x:v>
      </x:c>
      <x:c r="E221" s="27" t="str">
        <x:v>2023年4月・2022年9月入学合計</x:v>
      </x:c>
      <x:c r="F221" s="27" t="str">
        <x:v>修士課程</x:v>
      </x:c>
      <x:c r="G221" s="27" t="str">
        <x:v>系別公表値（特別選考等の除外あり）</x:v>
      </x:c>
      <x:c r="H221" s="27" t="str">
        <x:v>专攻/系</x:v>
      </x:c>
      <x:c r="I221" s="44"/>
      <x:c r="J221" s="44" t="n">
        <x:v>122</x:v>
      </x:c>
      <x:c r="K221" s="44"/>
      <x:c r="L221" s="44" t="n">
        <x:v>64</x:v>
      </x:c>
      <x:c r="M221" s="44"/>
      <x:c r="N221" s="45" t="n">
        <x:f>IF(AND(J221&lt;&gt;"",L221&lt;&gt;0),J221/L221,"")</x:f>
        <x:v>1.90625</x:v>
      </x:c>
      <x:c r="O221" s="45" t="str">
        <x:f>IF(AND(K221&lt;&gt;"",L221&lt;&gt;0),K221/L221,"")</x:f>
      </x:c>
      <x:c r="P221" s="46" t="str">
        <x:f>IF(AND(K221&lt;&gt;"",K221&lt;&gt;0,L221&lt;&gt;""),L221/K221,"")</x:f>
      </x:c>
      <x:c r="Q221" s="46" t="str">
        <x:f>IF(AND(L221&lt;&gt;"",L221&lt;&gt;0,M221&lt;&gt;""),M221/L221,"")</x:f>
      </x:c>
      <x:c r="R221" s="45" t="n">
        <x:f>IF(N221&lt;&gt;"",N221,IF(O221&lt;&gt;"",O221,""))</x:f>
        <x:v>1.90625</x:v>
      </x:c>
      <x:c r="S221" s="2" t="str">
        <x:f>IF(N221&lt;&gt;"","志愿/合格",IF(O221&lt;&gt;"","受验/合格",""))</x:f>
        <x:v>志愿/合格</x:v>
      </x:c>
      <x:c r="T221" s="2" t="str">
        <x:v>官方</x:v>
      </x:c>
      <x:c r="U221" s="2" t="str">
        <x:v>高</x:v>
      </x:c>
      <x:c r="V221" s="27" t="str">
        <x:v>2023年4月入学及び2022年9月入学 東京工業大学大学院修士課程・専門職学位課程入学試験結果</x:v>
      </x:c>
      <x:c r="W221" s="27" t="str">
        <x:v>PDF p.1「系別」表／システム制御系行</x:v>
      </x:c>
      <x:c r="X221" s="27" t="str">
        <x:v>https://admissions.isct.ac.jp/plugins/cms/component_download_file.php?contentsDataId=&amp;contentsId=&amp;fileName=2023-record-master&amp;key=c8b346e6ebcd7e97a3ed00de3bfcbb7b.pdf&amp;pageId=3284&amp;prevId=&amp;type=1</x:v>
      </x:c>
      <x:c r="Y221" s="27" t="str">
        <x:v>学院合計ではなく、当該「系」の行。</x:v>
      </x:c>
      <x:c r="Z221"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22" ht="38" customHeight="1">
      <x:c r="A222" s="2" t="str">
        <x:v>東京科学大学（旧・東京工業大学）</x:v>
      </x:c>
      <x:c r="B222" s="2" t="str">
        <x:v>工学院</x:v>
      </x:c>
      <x:c r="C222" s="2" t="str">
        <x:v>システム制御系</x:v>
      </x:c>
      <x:c r="D222" s="44" t="n">
        <x:v>2024</x:v>
      </x:c>
      <x:c r="E222" s="27" t="str">
        <x:v>2024年4月・2023年9月入学合計</x:v>
      </x:c>
      <x:c r="F222" s="27" t="str">
        <x:v>修士課程</x:v>
      </x:c>
      <x:c r="G222" s="27" t="str">
        <x:v>系別公表値（特別選考等の除外あり）</x:v>
      </x:c>
      <x:c r="H222" s="27" t="str">
        <x:v>专攻/系</x:v>
      </x:c>
      <x:c r="I222" s="44"/>
      <x:c r="J222" s="44" t="n">
        <x:v>105</x:v>
      </x:c>
      <x:c r="K222" s="44"/>
      <x:c r="L222" s="44" t="n">
        <x:v>63</x:v>
      </x:c>
      <x:c r="M222" s="44"/>
      <x:c r="N222" s="45" t="n">
        <x:f>IF(AND(J222&lt;&gt;"",L222&lt;&gt;0),J222/L222,"")</x:f>
        <x:v>1.6666666666666667</x:v>
      </x:c>
      <x:c r="O222" s="45" t="str">
        <x:f>IF(AND(K222&lt;&gt;"",L222&lt;&gt;0),K222/L222,"")</x:f>
      </x:c>
      <x:c r="P222" s="46" t="str">
        <x:f>IF(AND(K222&lt;&gt;"",K222&lt;&gt;0,L222&lt;&gt;""),L222/K222,"")</x:f>
      </x:c>
      <x:c r="Q222" s="46" t="str">
        <x:f>IF(AND(L222&lt;&gt;"",L222&lt;&gt;0,M222&lt;&gt;""),M222/L222,"")</x:f>
      </x:c>
      <x:c r="R222" s="45" t="n">
        <x:f>IF(N222&lt;&gt;"",N222,IF(O222&lt;&gt;"",O222,""))</x:f>
        <x:v>1.6666666666666667</x:v>
      </x:c>
      <x:c r="S222" s="2" t="str">
        <x:f>IF(N222&lt;&gt;"","志愿/合格",IF(O222&lt;&gt;"","受验/合格",""))</x:f>
        <x:v>志愿/合格</x:v>
      </x:c>
      <x:c r="T222" s="2" t="str">
        <x:v>官方</x:v>
      </x:c>
      <x:c r="U222" s="2" t="str">
        <x:v>高</x:v>
      </x:c>
      <x:c r="V222" s="27" t="str">
        <x:v>2024年4月入学及び2023年9月入学 東京工業大学大学院修士課程・専門職学位課程入学試験結果</x:v>
      </x:c>
      <x:c r="W222" s="27" t="str">
        <x:v>PDF p.1「系別」表／システム制御系行</x:v>
      </x:c>
      <x:c r="X222" s="27" t="str">
        <x:v>https://admissions.isct.ac.jp/plugins/cms/component_download_file.php?contentsDataId=&amp;contentsId=&amp;fileName=2024_record_master&amp;key=8d378f7061bc18ecfeb418efcbf2c515.pdf&amp;pageId=3284&amp;prevId=&amp;type=1</x:v>
      </x:c>
      <x:c r="Y222" s="27" t="str">
        <x:v>学院合計ではなく、当該「系」の行。</x:v>
      </x:c>
      <x:c r="Z222"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23" ht="38" customHeight="1">
      <x:c r="A223" s="2" t="str">
        <x:v>東京科学大学（旧・東京工業大学）</x:v>
      </x:c>
      <x:c r="B223" s="2" t="str">
        <x:v>工学院</x:v>
      </x:c>
      <x:c r="C223" s="2" t="str">
        <x:v>システム制御系</x:v>
      </x:c>
      <x:c r="D223" s="44" t="n">
        <x:v>2025</x:v>
      </x:c>
      <x:c r="E223" s="27" t="str">
        <x:v>2025年4月・2024年9月入学合計</x:v>
      </x:c>
      <x:c r="F223" s="27" t="str">
        <x:v>修士課程</x:v>
      </x:c>
      <x:c r="G223" s="27" t="str">
        <x:v>系別公表値（特別選考等の除外あり）</x:v>
      </x:c>
      <x:c r="H223" s="27" t="str">
        <x:v>专攻/系</x:v>
      </x:c>
      <x:c r="I223" s="44"/>
      <x:c r="J223" s="44" t="n">
        <x:v>108</x:v>
      </x:c>
      <x:c r="K223" s="44"/>
      <x:c r="L223" s="44" t="n">
        <x:v>63</x:v>
      </x:c>
      <x:c r="M223" s="44"/>
      <x:c r="N223" s="45" t="n">
        <x:f>IF(AND(J223&lt;&gt;"",L223&lt;&gt;0),J223/L223,"")</x:f>
        <x:v>1.7142857142857142</x:v>
      </x:c>
      <x:c r="O223" s="45" t="str">
        <x:f>IF(AND(K223&lt;&gt;"",L223&lt;&gt;0),K223/L223,"")</x:f>
      </x:c>
      <x:c r="P223" s="46" t="str">
        <x:f>IF(AND(K223&lt;&gt;"",K223&lt;&gt;0,L223&lt;&gt;""),L223/K223,"")</x:f>
      </x:c>
      <x:c r="Q223" s="46" t="str">
        <x:f>IF(AND(L223&lt;&gt;"",L223&lt;&gt;0,M223&lt;&gt;""),M223/L223,"")</x:f>
      </x:c>
      <x:c r="R223" s="45" t="n">
        <x:f>IF(N223&lt;&gt;"",N223,IF(O223&lt;&gt;"",O223,""))</x:f>
        <x:v>1.7142857142857142</x:v>
      </x:c>
      <x:c r="S223" s="2" t="str">
        <x:f>IF(N223&lt;&gt;"","志愿/合格",IF(O223&lt;&gt;"","受验/合格",""))</x:f>
        <x:v>志愿/合格</x:v>
      </x:c>
      <x:c r="T223" s="2" t="str">
        <x:v>官方</x:v>
      </x:c>
      <x:c r="U223" s="2" t="str">
        <x:v>高</x:v>
      </x:c>
      <x:c r="V223" s="27" t="str">
        <x:v>2025年4月入学及び2024年9月入学 東京科学大学大学院修士課程・専門職学位課程入学試験結果</x:v>
      </x:c>
      <x:c r="W223" s="27" t="str">
        <x:v>PDF p.1「系別」表／システム制御系行</x:v>
      </x:c>
      <x:c r="X223" s="27" t="str">
        <x:v>https://admissions.isct.ac.jp/plugins/cms/component_download_file.php?contentsDataId=&amp;contentsId=&amp;fileName=2025_record_master&amp;key=ba0f61bd956e12e9d0a3006c2c3231b3.pdf&amp;pageId=3284&amp;prevId=&amp;type=1</x:v>
      </x:c>
      <x:c r="Y223" s="27" t="str">
        <x:v>学院合計ではなく、当該「系」の行。</x:v>
      </x:c>
      <x:c r="Z223"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24" ht="38" customHeight="1">
      <x:c r="A224" s="2" t="str">
        <x:v>東京科学大学（旧・東京工業大学）</x:v>
      </x:c>
      <x:c r="B224" s="2" t="str">
        <x:v>工学院</x:v>
      </x:c>
      <x:c r="C224" s="2" t="str">
        <x:v>システム制御系</x:v>
      </x:c>
      <x:c r="D224" s="44" t="n">
        <x:v>2026</x:v>
      </x:c>
      <x:c r="E224" s="27" t="str">
        <x:v>2026年4月・2025年9月入学合計</x:v>
      </x:c>
      <x:c r="F224" s="27" t="str">
        <x:v>修士課程</x:v>
      </x:c>
      <x:c r="G224" s="27" t="str">
        <x:v>系別公表値（特別選考等の除外あり）</x:v>
      </x:c>
      <x:c r="H224" s="27" t="str">
        <x:v>专攻/系</x:v>
      </x:c>
      <x:c r="I224" s="44"/>
      <x:c r="J224" s="44" t="n">
        <x:v>101</x:v>
      </x:c>
      <x:c r="K224" s="44"/>
      <x:c r="L224" s="44" t="n">
        <x:v>66</x:v>
      </x:c>
      <x:c r="M224" s="44"/>
      <x:c r="N224" s="45" t="n">
        <x:f>IF(AND(J224&lt;&gt;"",L224&lt;&gt;0),J224/L224,"")</x:f>
        <x:v>1.5303030303030303</x:v>
      </x:c>
      <x:c r="O224" s="45" t="str">
        <x:f>IF(AND(K224&lt;&gt;"",L224&lt;&gt;0),K224/L224,"")</x:f>
      </x:c>
      <x:c r="P224" s="46" t="str">
        <x:f>IF(AND(K224&lt;&gt;"",K224&lt;&gt;0,L224&lt;&gt;""),L224/K224,"")</x:f>
      </x:c>
      <x:c r="Q224" s="46" t="str">
        <x:f>IF(AND(L224&lt;&gt;"",L224&lt;&gt;0,M224&lt;&gt;""),M224/L224,"")</x:f>
      </x:c>
      <x:c r="R224" s="45" t="n">
        <x:f>IF(N224&lt;&gt;"",N224,IF(O224&lt;&gt;"",O224,""))</x:f>
        <x:v>1.5303030303030303</x:v>
      </x:c>
      <x:c r="S224" s="2" t="str">
        <x:f>IF(N224&lt;&gt;"","志愿/合格",IF(O224&lt;&gt;"","受验/合格",""))</x:f>
        <x:v>志愿/合格</x:v>
      </x:c>
      <x:c r="T224" s="2" t="str">
        <x:v>官方</x:v>
      </x:c>
      <x:c r="U224" s="2" t="str">
        <x:v>高</x:v>
      </x:c>
      <x:c r="V224" s="27" t="str">
        <x:v>2026年4月入学及び2025年9月入学 東京科学大学大学院修士課程・専門職学位課程入学試験結果</x:v>
      </x:c>
      <x:c r="W224" s="27" t="str">
        <x:v>PDF p.1「系別」表／システム制御系行</x:v>
      </x:c>
      <x:c r="X224" s="27" t="str">
        <x:v>https://admissions.isct.ac.jp/plugins/cms/component_download_file.php?contentsDataId=&amp;contentsId=&amp;fileName=2026_record_master&amp;key=88014858637abe4c910ab16731dd187d.pdf&amp;pageId=3284&amp;prevId=&amp;type=1</x:v>
      </x:c>
      <x:c r="Y224" s="27" t="str">
        <x:v>学院合計ではなく、当該「系」の行。</x:v>
      </x:c>
      <x:c r="Z224"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25" ht="38" customHeight="1">
      <x:c r="A225" s="2" t="str">
        <x:v>東京科学大学（旧・東京工業大学）</x:v>
      </x:c>
      <x:c r="B225" s="2" t="str">
        <x:v>工学院</x:v>
      </x:c>
      <x:c r="C225" s="2" t="str">
        <x:v>機械系</x:v>
      </x:c>
      <x:c r="D225" s="44" t="n">
        <x:v>2022</x:v>
      </x:c>
      <x:c r="E225" s="27" t="str">
        <x:v>2022年4月・2021年9月入学合計</x:v>
      </x:c>
      <x:c r="F225" s="27" t="str">
        <x:v>修士課程</x:v>
      </x:c>
      <x:c r="G225" s="27" t="str">
        <x:v>系別公表値（特別選考等の除外あり）</x:v>
      </x:c>
      <x:c r="H225" s="27" t="str">
        <x:v>专攻/系</x:v>
      </x:c>
      <x:c r="I225" s="44"/>
      <x:c r="J225" s="44" t="n">
        <x:v>364</x:v>
      </x:c>
      <x:c r="K225" s="44"/>
      <x:c r="L225" s="44" t="n">
        <x:v>207</x:v>
      </x:c>
      <x:c r="M225" s="44"/>
      <x:c r="N225" s="45" t="n">
        <x:f>IF(AND(J225&lt;&gt;"",L225&lt;&gt;0),J225/L225,"")</x:f>
        <x:v>1.7584541062801933</x:v>
      </x:c>
      <x:c r="O225" s="45" t="str">
        <x:f>IF(AND(K225&lt;&gt;"",L225&lt;&gt;0),K225/L225,"")</x:f>
      </x:c>
      <x:c r="P225" s="46" t="str">
        <x:f>IF(AND(K225&lt;&gt;"",K225&lt;&gt;0,L225&lt;&gt;""),L225/K225,"")</x:f>
      </x:c>
      <x:c r="Q225" s="46" t="str">
        <x:f>IF(AND(L225&lt;&gt;"",L225&lt;&gt;0,M225&lt;&gt;""),M225/L225,"")</x:f>
      </x:c>
      <x:c r="R225" s="45" t="n">
        <x:f>IF(N225&lt;&gt;"",N225,IF(O225&lt;&gt;"",O225,""))</x:f>
        <x:v>1.7584541062801933</x:v>
      </x:c>
      <x:c r="S225" s="2" t="str">
        <x:f>IF(N225&lt;&gt;"","志愿/合格",IF(O225&lt;&gt;"","受验/合格",""))</x:f>
        <x:v>志愿/合格</x:v>
      </x:c>
      <x:c r="T225" s="2" t="str">
        <x:v>官方</x:v>
      </x:c>
      <x:c r="U225" s="2" t="str">
        <x:v>高</x:v>
      </x:c>
      <x:c r="V225" s="27" t="str">
        <x:v>2022年4月入学及び2021年9月入学 東京工業大学大学院修士課程・専門職学位課程入学試験結果</x:v>
      </x:c>
      <x:c r="W225" s="27" t="str">
        <x:v>PDF p.1「系別」表／機械系行</x:v>
      </x:c>
      <x:c r="X225" s="27" t="str">
        <x:v>https://admissions.isct.ac.jp/plugins/cms/component_download_file.php?contentsDataId=&amp;contentsId=&amp;fileName=2022-record-master&amp;key=43bb683af1f294642c21703b15823643.pdf&amp;pageId=3284&amp;prevId=&amp;type=1</x:v>
      </x:c>
      <x:c r="Y225" s="27" t="str">
        <x:v>学院合計ではなく、当該「系」の行。</x:v>
      </x:c>
      <x:c r="Z225"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26" ht="38" customHeight="1">
      <x:c r="A226" s="2" t="str">
        <x:v>東京科学大学（旧・東京工業大学）</x:v>
      </x:c>
      <x:c r="B226" s="2" t="str">
        <x:v>工学院</x:v>
      </x:c>
      <x:c r="C226" s="2" t="str">
        <x:v>機械系</x:v>
      </x:c>
      <x:c r="D226" s="44" t="n">
        <x:v>2023</x:v>
      </x:c>
      <x:c r="E226" s="27" t="str">
        <x:v>2023年4月・2022年9月入学合計</x:v>
      </x:c>
      <x:c r="F226" s="27" t="str">
        <x:v>修士課程</x:v>
      </x:c>
      <x:c r="G226" s="27" t="str">
        <x:v>系別公表値（特別選考等の除外あり）</x:v>
      </x:c>
      <x:c r="H226" s="27" t="str">
        <x:v>专攻/系</x:v>
      </x:c>
      <x:c r="I226" s="44"/>
      <x:c r="J226" s="44" t="n">
        <x:v>336</x:v>
      </x:c>
      <x:c r="K226" s="44"/>
      <x:c r="L226" s="44" t="n">
        <x:v>204</x:v>
      </x:c>
      <x:c r="M226" s="44"/>
      <x:c r="N226" s="45" t="n">
        <x:f>IF(AND(J226&lt;&gt;"",L226&lt;&gt;0),J226/L226,"")</x:f>
        <x:v>1.6470588235294117</x:v>
      </x:c>
      <x:c r="O226" s="45" t="str">
        <x:f>IF(AND(K226&lt;&gt;"",L226&lt;&gt;0),K226/L226,"")</x:f>
      </x:c>
      <x:c r="P226" s="46" t="str">
        <x:f>IF(AND(K226&lt;&gt;"",K226&lt;&gt;0,L226&lt;&gt;""),L226/K226,"")</x:f>
      </x:c>
      <x:c r="Q226" s="46" t="str">
        <x:f>IF(AND(L226&lt;&gt;"",L226&lt;&gt;0,M226&lt;&gt;""),M226/L226,"")</x:f>
      </x:c>
      <x:c r="R226" s="45" t="n">
        <x:f>IF(N226&lt;&gt;"",N226,IF(O226&lt;&gt;"",O226,""))</x:f>
        <x:v>1.6470588235294117</x:v>
      </x:c>
      <x:c r="S226" s="2" t="str">
        <x:f>IF(N226&lt;&gt;"","志愿/合格",IF(O226&lt;&gt;"","受验/合格",""))</x:f>
        <x:v>志愿/合格</x:v>
      </x:c>
      <x:c r="T226" s="2" t="str">
        <x:v>官方</x:v>
      </x:c>
      <x:c r="U226" s="2" t="str">
        <x:v>高</x:v>
      </x:c>
      <x:c r="V226" s="27" t="str">
        <x:v>2023年4月入学及び2022年9月入学 東京工業大学大学院修士課程・専門職学位課程入学試験結果</x:v>
      </x:c>
      <x:c r="W226" s="27" t="str">
        <x:v>PDF p.1「系別」表／機械系行</x:v>
      </x:c>
      <x:c r="X226" s="27" t="str">
        <x:v>https://admissions.isct.ac.jp/plugins/cms/component_download_file.php?contentsDataId=&amp;contentsId=&amp;fileName=2023-record-master&amp;key=c8b346e6ebcd7e97a3ed00de3bfcbb7b.pdf&amp;pageId=3284&amp;prevId=&amp;type=1</x:v>
      </x:c>
      <x:c r="Y226" s="27" t="str">
        <x:v>学院合計ではなく、当該「系」の行。</x:v>
      </x:c>
      <x:c r="Z226"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27" ht="38" customHeight="1">
      <x:c r="A227" s="2" t="str">
        <x:v>東京科学大学（旧・東京工業大学）</x:v>
      </x:c>
      <x:c r="B227" s="2" t="str">
        <x:v>工学院</x:v>
      </x:c>
      <x:c r="C227" s="2" t="str">
        <x:v>機械系</x:v>
      </x:c>
      <x:c r="D227" s="44" t="n">
        <x:v>2024</x:v>
      </x:c>
      <x:c r="E227" s="27" t="str">
        <x:v>2024年4月・2023年9月入学合計</x:v>
      </x:c>
      <x:c r="F227" s="27" t="str">
        <x:v>修士課程</x:v>
      </x:c>
      <x:c r="G227" s="27" t="str">
        <x:v>系別公表値（特別選考等の除外あり）</x:v>
      </x:c>
      <x:c r="H227" s="27" t="str">
        <x:v>专攻/系</x:v>
      </x:c>
      <x:c r="I227" s="44"/>
      <x:c r="J227" s="44" t="n">
        <x:v>344</x:v>
      </x:c>
      <x:c r="K227" s="44"/>
      <x:c r="L227" s="44" t="n">
        <x:v>199</x:v>
      </x:c>
      <x:c r="M227" s="44"/>
      <x:c r="N227" s="45" t="n">
        <x:f>IF(AND(J227&lt;&gt;"",L227&lt;&gt;0),J227/L227,"")</x:f>
        <x:v>1.728643216080402</x:v>
      </x:c>
      <x:c r="O227" s="45" t="str">
        <x:f>IF(AND(K227&lt;&gt;"",L227&lt;&gt;0),K227/L227,"")</x:f>
      </x:c>
      <x:c r="P227" s="46" t="str">
        <x:f>IF(AND(K227&lt;&gt;"",K227&lt;&gt;0,L227&lt;&gt;""),L227/K227,"")</x:f>
      </x:c>
      <x:c r="Q227" s="46" t="str">
        <x:f>IF(AND(L227&lt;&gt;"",L227&lt;&gt;0,M227&lt;&gt;""),M227/L227,"")</x:f>
      </x:c>
      <x:c r="R227" s="45" t="n">
        <x:f>IF(N227&lt;&gt;"",N227,IF(O227&lt;&gt;"",O227,""))</x:f>
        <x:v>1.728643216080402</x:v>
      </x:c>
      <x:c r="S227" s="2" t="str">
        <x:f>IF(N227&lt;&gt;"","志愿/合格",IF(O227&lt;&gt;"","受验/合格",""))</x:f>
        <x:v>志愿/合格</x:v>
      </x:c>
      <x:c r="T227" s="2" t="str">
        <x:v>官方</x:v>
      </x:c>
      <x:c r="U227" s="2" t="str">
        <x:v>高</x:v>
      </x:c>
      <x:c r="V227" s="27" t="str">
        <x:v>2024年4月入学及び2023年9月入学 東京工業大学大学院修士課程・専門職学位課程入学試験結果</x:v>
      </x:c>
      <x:c r="W227" s="27" t="str">
        <x:v>PDF p.1「系別」表／機械系行</x:v>
      </x:c>
      <x:c r="X227" s="27" t="str">
        <x:v>https://admissions.isct.ac.jp/plugins/cms/component_download_file.php?contentsDataId=&amp;contentsId=&amp;fileName=2024_record_master&amp;key=8d378f7061bc18ecfeb418efcbf2c515.pdf&amp;pageId=3284&amp;prevId=&amp;type=1</x:v>
      </x:c>
      <x:c r="Y227" s="27" t="str">
        <x:v>学院合計ではなく、当該「系」の行。</x:v>
      </x:c>
      <x:c r="Z227"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28" ht="38" customHeight="1">
      <x:c r="A228" s="2" t="str">
        <x:v>東京科学大学（旧・東京工業大学）</x:v>
      </x:c>
      <x:c r="B228" s="2" t="str">
        <x:v>工学院</x:v>
      </x:c>
      <x:c r="C228" s="2" t="str">
        <x:v>機械系</x:v>
      </x:c>
      <x:c r="D228" s="44" t="n">
        <x:v>2025</x:v>
      </x:c>
      <x:c r="E228" s="27" t="str">
        <x:v>2025年4月・2024年9月入学合計</x:v>
      </x:c>
      <x:c r="F228" s="27" t="str">
        <x:v>修士課程</x:v>
      </x:c>
      <x:c r="G228" s="27" t="str">
        <x:v>系別公表値（特別選考等の除外あり）</x:v>
      </x:c>
      <x:c r="H228" s="27" t="str">
        <x:v>专攻/系</x:v>
      </x:c>
      <x:c r="I228" s="44"/>
      <x:c r="J228" s="44" t="n">
        <x:v>368</x:v>
      </x:c>
      <x:c r="K228" s="44"/>
      <x:c r="L228" s="44" t="n">
        <x:v>206</x:v>
      </x:c>
      <x:c r="M228" s="44"/>
      <x:c r="N228" s="45" t="n">
        <x:f>IF(AND(J228&lt;&gt;"",L228&lt;&gt;0),J228/L228,"")</x:f>
        <x:v>1.7864077669902914</x:v>
      </x:c>
      <x:c r="O228" s="45" t="str">
        <x:f>IF(AND(K228&lt;&gt;"",L228&lt;&gt;0),K228/L228,"")</x:f>
      </x:c>
      <x:c r="P228" s="46" t="str">
        <x:f>IF(AND(K228&lt;&gt;"",K228&lt;&gt;0,L228&lt;&gt;""),L228/K228,"")</x:f>
      </x:c>
      <x:c r="Q228" s="46" t="str">
        <x:f>IF(AND(L228&lt;&gt;"",L228&lt;&gt;0,M228&lt;&gt;""),M228/L228,"")</x:f>
      </x:c>
      <x:c r="R228" s="45" t="n">
        <x:f>IF(N228&lt;&gt;"",N228,IF(O228&lt;&gt;"",O228,""))</x:f>
        <x:v>1.7864077669902914</x:v>
      </x:c>
      <x:c r="S228" s="2" t="str">
        <x:f>IF(N228&lt;&gt;"","志愿/合格",IF(O228&lt;&gt;"","受验/合格",""))</x:f>
        <x:v>志愿/合格</x:v>
      </x:c>
      <x:c r="T228" s="2" t="str">
        <x:v>官方</x:v>
      </x:c>
      <x:c r="U228" s="2" t="str">
        <x:v>高</x:v>
      </x:c>
      <x:c r="V228" s="27" t="str">
        <x:v>2025年4月入学及び2024年9月入学 東京科学大学大学院修士課程・専門職学位課程入学試験結果</x:v>
      </x:c>
      <x:c r="W228" s="27" t="str">
        <x:v>PDF p.1「系別」表／機械系行</x:v>
      </x:c>
      <x:c r="X228" s="27" t="str">
        <x:v>https://admissions.isct.ac.jp/plugins/cms/component_download_file.php?contentsDataId=&amp;contentsId=&amp;fileName=2025_record_master&amp;key=ba0f61bd956e12e9d0a3006c2c3231b3.pdf&amp;pageId=3284&amp;prevId=&amp;type=1</x:v>
      </x:c>
      <x:c r="Y228" s="27" t="str">
        <x:v>学院合計ではなく、当該「系」の行。</x:v>
      </x:c>
      <x:c r="Z228"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29" ht="38" customHeight="1">
      <x:c r="A229" s="2" t="str">
        <x:v>東京科学大学（旧・東京工業大学）</x:v>
      </x:c>
      <x:c r="B229" s="2" t="str">
        <x:v>工学院</x:v>
      </x:c>
      <x:c r="C229" s="2" t="str">
        <x:v>機械系</x:v>
      </x:c>
      <x:c r="D229" s="44" t="n">
        <x:v>2026</x:v>
      </x:c>
      <x:c r="E229" s="27" t="str">
        <x:v>2026年4月・2025年9月入学合計</x:v>
      </x:c>
      <x:c r="F229" s="27" t="str">
        <x:v>修士課程</x:v>
      </x:c>
      <x:c r="G229" s="27" t="str">
        <x:v>系別公表値（特別選考等の除外あり）</x:v>
      </x:c>
      <x:c r="H229" s="27" t="str">
        <x:v>专攻/系</x:v>
      </x:c>
      <x:c r="I229" s="44"/>
      <x:c r="J229" s="44" t="n">
        <x:v>371</x:v>
      </x:c>
      <x:c r="K229" s="44"/>
      <x:c r="L229" s="44" t="n">
        <x:v>208</x:v>
      </x:c>
      <x:c r="M229" s="44"/>
      <x:c r="N229" s="45" t="n">
        <x:f>IF(AND(J229&lt;&gt;"",L229&lt;&gt;0),J229/L229,"")</x:f>
        <x:v>1.7836538461538463</x:v>
      </x:c>
      <x:c r="O229" s="45" t="str">
        <x:f>IF(AND(K229&lt;&gt;"",L229&lt;&gt;0),K229/L229,"")</x:f>
      </x:c>
      <x:c r="P229" s="46" t="str">
        <x:f>IF(AND(K229&lt;&gt;"",K229&lt;&gt;0,L229&lt;&gt;""),L229/K229,"")</x:f>
      </x:c>
      <x:c r="Q229" s="46" t="str">
        <x:f>IF(AND(L229&lt;&gt;"",L229&lt;&gt;0,M229&lt;&gt;""),M229/L229,"")</x:f>
      </x:c>
      <x:c r="R229" s="45" t="n">
        <x:f>IF(N229&lt;&gt;"",N229,IF(O229&lt;&gt;"",O229,""))</x:f>
        <x:v>1.7836538461538463</x:v>
      </x:c>
      <x:c r="S229" s="2" t="str">
        <x:f>IF(N229&lt;&gt;"","志愿/合格",IF(O229&lt;&gt;"","受验/合格",""))</x:f>
        <x:v>志愿/合格</x:v>
      </x:c>
      <x:c r="T229" s="2" t="str">
        <x:v>官方</x:v>
      </x:c>
      <x:c r="U229" s="2" t="str">
        <x:v>高</x:v>
      </x:c>
      <x:c r="V229" s="27" t="str">
        <x:v>2026年4月入学及び2025年9月入学 東京科学大学大学院修士課程・専門職学位課程入学試験結果</x:v>
      </x:c>
      <x:c r="W229" s="27" t="str">
        <x:v>PDF p.1「系別」表／機械系行</x:v>
      </x:c>
      <x:c r="X229" s="27" t="str">
        <x:v>https://admissions.isct.ac.jp/plugins/cms/component_download_file.php?contentsDataId=&amp;contentsId=&amp;fileName=2026_record_master&amp;key=88014858637abe4c910ab16731dd187d.pdf&amp;pageId=3284&amp;prevId=&amp;type=1</x:v>
      </x:c>
      <x:c r="Y229" s="27" t="str">
        <x:v>学院合計ではなく、当該「系」の行。</x:v>
      </x:c>
      <x:c r="Z229"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30" ht="38" customHeight="1">
      <x:c r="A230" s="2" t="str">
        <x:v>東京科学大学（旧・東京工業大学）</x:v>
      </x:c>
      <x:c r="B230" s="2" t="str">
        <x:v>工学院</x:v>
      </x:c>
      <x:c r="C230" s="2" t="str">
        <x:v>経営工学系</x:v>
      </x:c>
      <x:c r="D230" s="44" t="n">
        <x:v>2022</x:v>
      </x:c>
      <x:c r="E230" s="27" t="str">
        <x:v>2022年4月・2021年9月入学合計</x:v>
      </x:c>
      <x:c r="F230" s="27" t="str">
        <x:v>修士課程</x:v>
      </x:c>
      <x:c r="G230" s="27" t="str">
        <x:v>系別公表値（特別選考等の除外あり）</x:v>
      </x:c>
      <x:c r="H230" s="27" t="str">
        <x:v>专攻/系</x:v>
      </x:c>
      <x:c r="I230" s="44"/>
      <x:c r="J230" s="44" t="n">
        <x:v>136</x:v>
      </x:c>
      <x:c r="K230" s="44"/>
      <x:c r="L230" s="44" t="n">
        <x:v>67</x:v>
      </x:c>
      <x:c r="M230" s="44"/>
      <x:c r="N230" s="45" t="n">
        <x:f>IF(AND(J230&lt;&gt;"",L230&lt;&gt;0),J230/L230,"")</x:f>
        <x:v>2.029850746268657</x:v>
      </x:c>
      <x:c r="O230" s="45" t="str">
        <x:f>IF(AND(K230&lt;&gt;"",L230&lt;&gt;0),K230/L230,"")</x:f>
      </x:c>
      <x:c r="P230" s="46" t="str">
        <x:f>IF(AND(K230&lt;&gt;"",K230&lt;&gt;0,L230&lt;&gt;""),L230/K230,"")</x:f>
      </x:c>
      <x:c r="Q230" s="46" t="str">
        <x:f>IF(AND(L230&lt;&gt;"",L230&lt;&gt;0,M230&lt;&gt;""),M230/L230,"")</x:f>
      </x:c>
      <x:c r="R230" s="45" t="n">
        <x:f>IF(N230&lt;&gt;"",N230,IF(O230&lt;&gt;"",O230,""))</x:f>
        <x:v>2.029850746268657</x:v>
      </x:c>
      <x:c r="S230" s="2" t="str">
        <x:f>IF(N230&lt;&gt;"","志愿/合格",IF(O230&lt;&gt;"","受验/合格",""))</x:f>
        <x:v>志愿/合格</x:v>
      </x:c>
      <x:c r="T230" s="2" t="str">
        <x:v>官方</x:v>
      </x:c>
      <x:c r="U230" s="2" t="str">
        <x:v>高</x:v>
      </x:c>
      <x:c r="V230" s="27" t="str">
        <x:v>2022年4月入学及び2021年9月入学 東京工業大学大学院修士課程・専門職学位課程入学試験結果</x:v>
      </x:c>
      <x:c r="W230" s="27" t="str">
        <x:v>PDF p.1「系別」表／経営工学系行</x:v>
      </x:c>
      <x:c r="X230" s="27" t="str">
        <x:v>https://admissions.isct.ac.jp/plugins/cms/component_download_file.php?contentsDataId=&amp;contentsId=&amp;fileName=2022-record-master&amp;key=43bb683af1f294642c21703b15823643.pdf&amp;pageId=3284&amp;prevId=&amp;type=1</x:v>
      </x:c>
      <x:c r="Y230" s="27" t="str">
        <x:v>学院合計ではなく、当該「系」の行。</x:v>
      </x:c>
      <x:c r="Z230"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31" ht="38" customHeight="1">
      <x:c r="A231" s="2" t="str">
        <x:v>東京科学大学（旧・東京工業大学）</x:v>
      </x:c>
      <x:c r="B231" s="2" t="str">
        <x:v>工学院</x:v>
      </x:c>
      <x:c r="C231" s="2" t="str">
        <x:v>経営工学系</x:v>
      </x:c>
      <x:c r="D231" s="44" t="n">
        <x:v>2023</x:v>
      </x:c>
      <x:c r="E231" s="27" t="str">
        <x:v>2023年4月・2022年9月入学合計</x:v>
      </x:c>
      <x:c r="F231" s="27" t="str">
        <x:v>修士課程</x:v>
      </x:c>
      <x:c r="G231" s="27" t="str">
        <x:v>系別公表値（特別選考等の除外あり）</x:v>
      </x:c>
      <x:c r="H231" s="27" t="str">
        <x:v>专攻/系</x:v>
      </x:c>
      <x:c r="I231" s="44"/>
      <x:c r="J231" s="44" t="n">
        <x:v>124</x:v>
      </x:c>
      <x:c r="K231" s="44"/>
      <x:c r="L231" s="44" t="n">
        <x:v>65</x:v>
      </x:c>
      <x:c r="M231" s="44"/>
      <x:c r="N231" s="45" t="n">
        <x:f>IF(AND(J231&lt;&gt;"",L231&lt;&gt;0),J231/L231,"")</x:f>
        <x:v>1.9076923076923078</x:v>
      </x:c>
      <x:c r="O231" s="45" t="str">
        <x:f>IF(AND(K231&lt;&gt;"",L231&lt;&gt;0),K231/L231,"")</x:f>
      </x:c>
      <x:c r="P231" s="46" t="str">
        <x:f>IF(AND(K231&lt;&gt;"",K231&lt;&gt;0,L231&lt;&gt;""),L231/K231,"")</x:f>
      </x:c>
      <x:c r="Q231" s="46" t="str">
        <x:f>IF(AND(L231&lt;&gt;"",L231&lt;&gt;0,M231&lt;&gt;""),M231/L231,"")</x:f>
      </x:c>
      <x:c r="R231" s="45" t="n">
        <x:f>IF(N231&lt;&gt;"",N231,IF(O231&lt;&gt;"",O231,""))</x:f>
        <x:v>1.9076923076923078</x:v>
      </x:c>
      <x:c r="S231" s="2" t="str">
        <x:f>IF(N231&lt;&gt;"","志愿/合格",IF(O231&lt;&gt;"","受验/合格",""))</x:f>
        <x:v>志愿/合格</x:v>
      </x:c>
      <x:c r="T231" s="2" t="str">
        <x:v>官方</x:v>
      </x:c>
      <x:c r="U231" s="2" t="str">
        <x:v>高</x:v>
      </x:c>
      <x:c r="V231" s="27" t="str">
        <x:v>2023年4月入学及び2022年9月入学 東京工業大学大学院修士課程・専門職学位課程入学試験結果</x:v>
      </x:c>
      <x:c r="W231" s="27" t="str">
        <x:v>PDF p.1「系別」表／経営工学系行</x:v>
      </x:c>
      <x:c r="X231" s="27" t="str">
        <x:v>https://admissions.isct.ac.jp/plugins/cms/component_download_file.php?contentsDataId=&amp;contentsId=&amp;fileName=2023-record-master&amp;key=c8b346e6ebcd7e97a3ed00de3bfcbb7b.pdf&amp;pageId=3284&amp;prevId=&amp;type=1</x:v>
      </x:c>
      <x:c r="Y231" s="27" t="str">
        <x:v>学院合計ではなく、当該「系」の行。</x:v>
      </x:c>
      <x:c r="Z231"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32" ht="38" customHeight="1">
      <x:c r="A232" s="2" t="str">
        <x:v>東京科学大学（旧・東京工業大学）</x:v>
      </x:c>
      <x:c r="B232" s="2" t="str">
        <x:v>工学院</x:v>
      </x:c>
      <x:c r="C232" s="2" t="str">
        <x:v>経営工学系</x:v>
      </x:c>
      <x:c r="D232" s="44" t="n">
        <x:v>2024</x:v>
      </x:c>
      <x:c r="E232" s="27" t="str">
        <x:v>2024年4月・2023年9月入学合計</x:v>
      </x:c>
      <x:c r="F232" s="27" t="str">
        <x:v>修士課程</x:v>
      </x:c>
      <x:c r="G232" s="27" t="str">
        <x:v>系別公表値（特別選考等の除外あり）</x:v>
      </x:c>
      <x:c r="H232" s="27" t="str">
        <x:v>专攻/系</x:v>
      </x:c>
      <x:c r="I232" s="44"/>
      <x:c r="J232" s="44" t="n">
        <x:v>141</x:v>
      </x:c>
      <x:c r="K232" s="44"/>
      <x:c r="L232" s="44" t="n">
        <x:v>68</x:v>
      </x:c>
      <x:c r="M232" s="44"/>
      <x:c r="N232" s="45" t="n">
        <x:f>IF(AND(J232&lt;&gt;"",L232&lt;&gt;0),J232/L232,"")</x:f>
        <x:v>2.073529411764706</x:v>
      </x:c>
      <x:c r="O232" s="45" t="str">
        <x:f>IF(AND(K232&lt;&gt;"",L232&lt;&gt;0),K232/L232,"")</x:f>
      </x:c>
      <x:c r="P232" s="46" t="str">
        <x:f>IF(AND(K232&lt;&gt;"",K232&lt;&gt;0,L232&lt;&gt;""),L232/K232,"")</x:f>
      </x:c>
      <x:c r="Q232" s="46" t="str">
        <x:f>IF(AND(L232&lt;&gt;"",L232&lt;&gt;0,M232&lt;&gt;""),M232/L232,"")</x:f>
      </x:c>
      <x:c r="R232" s="45" t="n">
        <x:f>IF(N232&lt;&gt;"",N232,IF(O232&lt;&gt;"",O232,""))</x:f>
        <x:v>2.073529411764706</x:v>
      </x:c>
      <x:c r="S232" s="2" t="str">
        <x:f>IF(N232&lt;&gt;"","志愿/合格",IF(O232&lt;&gt;"","受验/合格",""))</x:f>
        <x:v>志愿/合格</x:v>
      </x:c>
      <x:c r="T232" s="2" t="str">
        <x:v>官方</x:v>
      </x:c>
      <x:c r="U232" s="2" t="str">
        <x:v>高</x:v>
      </x:c>
      <x:c r="V232" s="27" t="str">
        <x:v>2024年4月入学及び2023年9月入学 東京工業大学大学院修士課程・専門職学位課程入学試験結果</x:v>
      </x:c>
      <x:c r="W232" s="27" t="str">
        <x:v>PDF p.1「系別」表／経営工学系行</x:v>
      </x:c>
      <x:c r="X232" s="27" t="str">
        <x:v>https://admissions.isct.ac.jp/plugins/cms/component_download_file.php?contentsDataId=&amp;contentsId=&amp;fileName=2024_record_master&amp;key=8d378f7061bc18ecfeb418efcbf2c515.pdf&amp;pageId=3284&amp;prevId=&amp;type=1</x:v>
      </x:c>
      <x:c r="Y232" s="27" t="str">
        <x:v>学院合計ではなく、当該「系」の行。</x:v>
      </x:c>
      <x:c r="Z232"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33" ht="38" customHeight="1">
      <x:c r="A233" s="2" t="str">
        <x:v>東京科学大学（旧・東京工業大学）</x:v>
      </x:c>
      <x:c r="B233" s="2" t="str">
        <x:v>工学院</x:v>
      </x:c>
      <x:c r="C233" s="2" t="str">
        <x:v>経営工学系</x:v>
      </x:c>
      <x:c r="D233" s="44" t="n">
        <x:v>2025</x:v>
      </x:c>
      <x:c r="E233" s="27" t="str">
        <x:v>2025年4月・2024年9月入学合計</x:v>
      </x:c>
      <x:c r="F233" s="27" t="str">
        <x:v>修士課程</x:v>
      </x:c>
      <x:c r="G233" s="27" t="str">
        <x:v>系別公表値（特別選考等の除外あり）</x:v>
      </x:c>
      <x:c r="H233" s="27" t="str">
        <x:v>专攻/系</x:v>
      </x:c>
      <x:c r="I233" s="44"/>
      <x:c r="J233" s="44" t="n">
        <x:v>161</x:v>
      </x:c>
      <x:c r="K233" s="44"/>
      <x:c r="L233" s="44" t="n">
        <x:v>65</x:v>
      </x:c>
      <x:c r="M233" s="44"/>
      <x:c r="N233" s="45" t="n">
        <x:f>IF(AND(J233&lt;&gt;"",L233&lt;&gt;0),J233/L233,"")</x:f>
        <x:v>2.476923076923077</x:v>
      </x:c>
      <x:c r="O233" s="45" t="str">
        <x:f>IF(AND(K233&lt;&gt;"",L233&lt;&gt;0),K233/L233,"")</x:f>
      </x:c>
      <x:c r="P233" s="46" t="str">
        <x:f>IF(AND(K233&lt;&gt;"",K233&lt;&gt;0,L233&lt;&gt;""),L233/K233,"")</x:f>
      </x:c>
      <x:c r="Q233" s="46" t="str">
        <x:f>IF(AND(L233&lt;&gt;"",L233&lt;&gt;0,M233&lt;&gt;""),M233/L233,"")</x:f>
      </x:c>
      <x:c r="R233" s="45" t="n">
        <x:f>IF(N233&lt;&gt;"",N233,IF(O233&lt;&gt;"",O233,""))</x:f>
        <x:v>2.476923076923077</x:v>
      </x:c>
      <x:c r="S233" s="2" t="str">
        <x:f>IF(N233&lt;&gt;"","志愿/合格",IF(O233&lt;&gt;"","受验/合格",""))</x:f>
        <x:v>志愿/合格</x:v>
      </x:c>
      <x:c r="T233" s="2" t="str">
        <x:v>官方</x:v>
      </x:c>
      <x:c r="U233" s="2" t="str">
        <x:v>高</x:v>
      </x:c>
      <x:c r="V233" s="27" t="str">
        <x:v>2025年4月入学及び2024年9月入学 東京科学大学大学院修士課程・専門職学位課程入学試験結果</x:v>
      </x:c>
      <x:c r="W233" s="27" t="str">
        <x:v>PDF p.1「系別」表／経営工学系行</x:v>
      </x:c>
      <x:c r="X233" s="27" t="str">
        <x:v>https://admissions.isct.ac.jp/plugins/cms/component_download_file.php?contentsDataId=&amp;contentsId=&amp;fileName=2025_record_master&amp;key=ba0f61bd956e12e9d0a3006c2c3231b3.pdf&amp;pageId=3284&amp;prevId=&amp;type=1</x:v>
      </x:c>
      <x:c r="Y233" s="27" t="str">
        <x:v>学院合計ではなく、当該「系」の行。</x:v>
      </x:c>
      <x:c r="Z233"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34" ht="38" customHeight="1">
      <x:c r="A234" s="2" t="str">
        <x:v>東京科学大学（旧・東京工業大学）</x:v>
      </x:c>
      <x:c r="B234" s="2" t="str">
        <x:v>工学院</x:v>
      </x:c>
      <x:c r="C234" s="2" t="str">
        <x:v>経営工学系</x:v>
      </x:c>
      <x:c r="D234" s="44" t="n">
        <x:v>2026</x:v>
      </x:c>
      <x:c r="E234" s="27" t="str">
        <x:v>2026年4月・2025年9月入学合計</x:v>
      </x:c>
      <x:c r="F234" s="27" t="str">
        <x:v>修士課程</x:v>
      </x:c>
      <x:c r="G234" s="27" t="str">
        <x:v>系別公表値（特別選考等の除外あり）</x:v>
      </x:c>
      <x:c r="H234" s="27" t="str">
        <x:v>专攻/系</x:v>
      </x:c>
      <x:c r="I234" s="44"/>
      <x:c r="J234" s="44" t="n">
        <x:v>178</x:v>
      </x:c>
      <x:c r="K234" s="44"/>
      <x:c r="L234" s="44" t="n">
        <x:v>65</x:v>
      </x:c>
      <x:c r="M234" s="44"/>
      <x:c r="N234" s="45" t="n">
        <x:f>IF(AND(J234&lt;&gt;"",L234&lt;&gt;0),J234/L234,"")</x:f>
        <x:v>2.7384615384615385</x:v>
      </x:c>
      <x:c r="O234" s="45" t="str">
        <x:f>IF(AND(K234&lt;&gt;"",L234&lt;&gt;0),K234/L234,"")</x:f>
      </x:c>
      <x:c r="P234" s="46" t="str">
        <x:f>IF(AND(K234&lt;&gt;"",K234&lt;&gt;0,L234&lt;&gt;""),L234/K234,"")</x:f>
      </x:c>
      <x:c r="Q234" s="46" t="str">
        <x:f>IF(AND(L234&lt;&gt;"",L234&lt;&gt;0,M234&lt;&gt;""),M234/L234,"")</x:f>
      </x:c>
      <x:c r="R234" s="45" t="n">
        <x:f>IF(N234&lt;&gt;"",N234,IF(O234&lt;&gt;"",O234,""))</x:f>
        <x:v>2.7384615384615385</x:v>
      </x:c>
      <x:c r="S234" s="2" t="str">
        <x:f>IF(N234&lt;&gt;"","志愿/合格",IF(O234&lt;&gt;"","受验/合格",""))</x:f>
        <x:v>志愿/合格</x:v>
      </x:c>
      <x:c r="T234" s="2" t="str">
        <x:v>官方</x:v>
      </x:c>
      <x:c r="U234" s="2" t="str">
        <x:v>高</x:v>
      </x:c>
      <x:c r="V234" s="27" t="str">
        <x:v>2026年4月入学及び2025年9月入学 東京科学大学大学院修士課程・専門職学位課程入学試験結果</x:v>
      </x:c>
      <x:c r="W234" s="27" t="str">
        <x:v>PDF p.1「系別」表／経営工学系行</x:v>
      </x:c>
      <x:c r="X234" s="27" t="str">
        <x:v>https://admissions.isct.ac.jp/plugins/cms/component_download_file.php?contentsDataId=&amp;contentsId=&amp;fileName=2026_record_master&amp;key=88014858637abe4c910ab16731dd187d.pdf&amp;pageId=3284&amp;prevId=&amp;type=1</x:v>
      </x:c>
      <x:c r="Y234" s="27" t="str">
        <x:v>学院合計ではなく、当該「系」の行。</x:v>
      </x:c>
      <x:c r="Z234"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35" ht="38" customHeight="1">
      <x:c r="A235" s="2" t="str">
        <x:v>東京科学大学（旧・東京工業大学）</x:v>
      </x:c>
      <x:c r="B235" s="2" t="str">
        <x:v>工学院</x:v>
      </x:c>
      <x:c r="C235" s="2" t="str">
        <x:v>情報通信系</x:v>
      </x:c>
      <x:c r="D235" s="44" t="n">
        <x:v>2022</x:v>
      </x:c>
      <x:c r="E235" s="27" t="str">
        <x:v>2022年4月・2021年9月入学合計</x:v>
      </x:c>
      <x:c r="F235" s="27" t="str">
        <x:v>修士課程</x:v>
      </x:c>
      <x:c r="G235" s="27" t="str">
        <x:v>系別公表値（特別選考等の除外あり）</x:v>
      </x:c>
      <x:c r="H235" s="27" t="str">
        <x:v>专攻/系</x:v>
      </x:c>
      <x:c r="I235" s="44"/>
      <x:c r="J235" s="44" t="n">
        <x:v>155</x:v>
      </x:c>
      <x:c r="K235" s="44"/>
      <x:c r="L235" s="44" t="n">
        <x:v>82</x:v>
      </x:c>
      <x:c r="M235" s="44"/>
      <x:c r="N235" s="45" t="n">
        <x:f>IF(AND(J235&lt;&gt;"",L235&lt;&gt;0),J235/L235,"")</x:f>
        <x:v>1.8902439024390243</x:v>
      </x:c>
      <x:c r="O235" s="45" t="str">
        <x:f>IF(AND(K235&lt;&gt;"",L235&lt;&gt;0),K235/L235,"")</x:f>
      </x:c>
      <x:c r="P235" s="46" t="str">
        <x:f>IF(AND(K235&lt;&gt;"",K235&lt;&gt;0,L235&lt;&gt;""),L235/K235,"")</x:f>
      </x:c>
      <x:c r="Q235" s="46" t="str">
        <x:f>IF(AND(L235&lt;&gt;"",L235&lt;&gt;0,M235&lt;&gt;""),M235/L235,"")</x:f>
      </x:c>
      <x:c r="R235" s="45" t="n">
        <x:f>IF(N235&lt;&gt;"",N235,IF(O235&lt;&gt;"",O235,""))</x:f>
        <x:v>1.8902439024390243</x:v>
      </x:c>
      <x:c r="S235" s="2" t="str">
        <x:f>IF(N235&lt;&gt;"","志愿/合格",IF(O235&lt;&gt;"","受验/合格",""))</x:f>
        <x:v>志愿/合格</x:v>
      </x:c>
      <x:c r="T235" s="2" t="str">
        <x:v>官方</x:v>
      </x:c>
      <x:c r="U235" s="2" t="str">
        <x:v>高</x:v>
      </x:c>
      <x:c r="V235" s="27" t="str">
        <x:v>2022年4月入学及び2021年9月入学 東京工業大学大学院修士課程・専門職学位課程入学試験結果</x:v>
      </x:c>
      <x:c r="W235" s="27" t="str">
        <x:v>PDF p.1「系別」表／情報通信系行</x:v>
      </x:c>
      <x:c r="X235" s="27" t="str">
        <x:v>https://admissions.isct.ac.jp/plugins/cms/component_download_file.php?contentsDataId=&amp;contentsId=&amp;fileName=2022-record-master&amp;key=43bb683af1f294642c21703b15823643.pdf&amp;pageId=3284&amp;prevId=&amp;type=1</x:v>
      </x:c>
      <x:c r="Y235" s="27" t="str">
        <x:v>学院合計ではなく、当該「系」の行。</x:v>
      </x:c>
      <x:c r="Z235"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36" ht="38" customHeight="1">
      <x:c r="A236" s="2" t="str">
        <x:v>東京科学大学（旧・東京工業大学）</x:v>
      </x:c>
      <x:c r="B236" s="2" t="str">
        <x:v>工学院</x:v>
      </x:c>
      <x:c r="C236" s="2" t="str">
        <x:v>情報通信系</x:v>
      </x:c>
      <x:c r="D236" s="44" t="n">
        <x:v>2023</x:v>
      </x:c>
      <x:c r="E236" s="27" t="str">
        <x:v>2023年4月・2022年9月入学合計</x:v>
      </x:c>
      <x:c r="F236" s="27" t="str">
        <x:v>修士課程</x:v>
      </x:c>
      <x:c r="G236" s="27" t="str">
        <x:v>系別公表値（特別選考等の除外あり）</x:v>
      </x:c>
      <x:c r="H236" s="27" t="str">
        <x:v>专攻/系</x:v>
      </x:c>
      <x:c r="I236" s="44"/>
      <x:c r="J236" s="44" t="n">
        <x:v>170</x:v>
      </x:c>
      <x:c r="K236" s="44"/>
      <x:c r="L236" s="44" t="n">
        <x:v>81</x:v>
      </x:c>
      <x:c r="M236" s="44"/>
      <x:c r="N236" s="45" t="n">
        <x:f>IF(AND(J236&lt;&gt;"",L236&lt;&gt;0),J236/L236,"")</x:f>
        <x:v>2.0987654320987654</x:v>
      </x:c>
      <x:c r="O236" s="45" t="str">
        <x:f>IF(AND(K236&lt;&gt;"",L236&lt;&gt;0),K236/L236,"")</x:f>
      </x:c>
      <x:c r="P236" s="46" t="str">
        <x:f>IF(AND(K236&lt;&gt;"",K236&lt;&gt;0,L236&lt;&gt;""),L236/K236,"")</x:f>
      </x:c>
      <x:c r="Q236" s="46" t="str">
        <x:f>IF(AND(L236&lt;&gt;"",L236&lt;&gt;0,M236&lt;&gt;""),M236/L236,"")</x:f>
      </x:c>
      <x:c r="R236" s="45" t="n">
        <x:f>IF(N236&lt;&gt;"",N236,IF(O236&lt;&gt;"",O236,""))</x:f>
        <x:v>2.0987654320987654</x:v>
      </x:c>
      <x:c r="S236" s="2" t="str">
        <x:f>IF(N236&lt;&gt;"","志愿/合格",IF(O236&lt;&gt;"","受验/合格",""))</x:f>
        <x:v>志愿/合格</x:v>
      </x:c>
      <x:c r="T236" s="2" t="str">
        <x:v>官方</x:v>
      </x:c>
      <x:c r="U236" s="2" t="str">
        <x:v>高</x:v>
      </x:c>
      <x:c r="V236" s="27" t="str">
        <x:v>2023年4月入学及び2022年9月入学 東京工業大学大学院修士課程・専門職学位課程入学試験結果</x:v>
      </x:c>
      <x:c r="W236" s="27" t="str">
        <x:v>PDF p.1「系別」表／情報通信系行</x:v>
      </x:c>
      <x:c r="X236" s="27" t="str">
        <x:v>https://admissions.isct.ac.jp/plugins/cms/component_download_file.php?contentsDataId=&amp;contentsId=&amp;fileName=2023-record-master&amp;key=c8b346e6ebcd7e97a3ed00de3bfcbb7b.pdf&amp;pageId=3284&amp;prevId=&amp;type=1</x:v>
      </x:c>
      <x:c r="Y236" s="27" t="str">
        <x:v>学院合計ではなく、当該「系」の行。</x:v>
      </x:c>
      <x:c r="Z236"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37" ht="38" customHeight="1">
      <x:c r="A237" s="2" t="str">
        <x:v>東京科学大学（旧・東京工業大学）</x:v>
      </x:c>
      <x:c r="B237" s="2" t="str">
        <x:v>工学院</x:v>
      </x:c>
      <x:c r="C237" s="2" t="str">
        <x:v>情報通信系</x:v>
      </x:c>
      <x:c r="D237" s="44" t="n">
        <x:v>2024</x:v>
      </x:c>
      <x:c r="E237" s="27" t="str">
        <x:v>2024年4月・2023年9月入学合計</x:v>
      </x:c>
      <x:c r="F237" s="27" t="str">
        <x:v>修士課程</x:v>
      </x:c>
      <x:c r="G237" s="27" t="str">
        <x:v>系別公表値（特別選考等の除外あり）</x:v>
      </x:c>
      <x:c r="H237" s="27" t="str">
        <x:v>专攻/系</x:v>
      </x:c>
      <x:c r="I237" s="44"/>
      <x:c r="J237" s="44" t="n">
        <x:v>181</x:v>
      </x:c>
      <x:c r="K237" s="44"/>
      <x:c r="L237" s="44" t="n">
        <x:v>81</x:v>
      </x:c>
      <x:c r="M237" s="44"/>
      <x:c r="N237" s="45" t="n">
        <x:f>IF(AND(J237&lt;&gt;"",L237&lt;&gt;0),J237/L237,"")</x:f>
        <x:v>2.234567901234568</x:v>
      </x:c>
      <x:c r="O237" s="45" t="str">
        <x:f>IF(AND(K237&lt;&gt;"",L237&lt;&gt;0),K237/L237,"")</x:f>
      </x:c>
      <x:c r="P237" s="46" t="str">
        <x:f>IF(AND(K237&lt;&gt;"",K237&lt;&gt;0,L237&lt;&gt;""),L237/K237,"")</x:f>
      </x:c>
      <x:c r="Q237" s="46" t="str">
        <x:f>IF(AND(L237&lt;&gt;"",L237&lt;&gt;0,M237&lt;&gt;""),M237/L237,"")</x:f>
      </x:c>
      <x:c r="R237" s="45" t="n">
        <x:f>IF(N237&lt;&gt;"",N237,IF(O237&lt;&gt;"",O237,""))</x:f>
        <x:v>2.234567901234568</x:v>
      </x:c>
      <x:c r="S237" s="2" t="str">
        <x:f>IF(N237&lt;&gt;"","志愿/合格",IF(O237&lt;&gt;"","受验/合格",""))</x:f>
        <x:v>志愿/合格</x:v>
      </x:c>
      <x:c r="T237" s="2" t="str">
        <x:v>官方</x:v>
      </x:c>
      <x:c r="U237" s="2" t="str">
        <x:v>高</x:v>
      </x:c>
      <x:c r="V237" s="27" t="str">
        <x:v>2024年4月入学及び2023年9月入学 東京工業大学大学院修士課程・専門職学位課程入学試験結果</x:v>
      </x:c>
      <x:c r="W237" s="27" t="str">
        <x:v>PDF p.1「系別」表／情報通信系行</x:v>
      </x:c>
      <x:c r="X237" s="27" t="str">
        <x:v>https://admissions.isct.ac.jp/plugins/cms/component_download_file.php?contentsDataId=&amp;contentsId=&amp;fileName=2024_record_master&amp;key=8d378f7061bc18ecfeb418efcbf2c515.pdf&amp;pageId=3284&amp;prevId=&amp;type=1</x:v>
      </x:c>
      <x:c r="Y237" s="27" t="str">
        <x:v>学院合計ではなく、当該「系」の行。</x:v>
      </x:c>
      <x:c r="Z237"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38" ht="38" customHeight="1">
      <x:c r="A238" s="2" t="str">
        <x:v>東京科学大学（旧・東京工業大学）</x:v>
      </x:c>
      <x:c r="B238" s="2" t="str">
        <x:v>工学院</x:v>
      </x:c>
      <x:c r="C238" s="2" t="str">
        <x:v>情報通信系</x:v>
      </x:c>
      <x:c r="D238" s="44" t="n">
        <x:v>2025</x:v>
      </x:c>
      <x:c r="E238" s="27" t="str">
        <x:v>2025年4月・2024年9月入学合計</x:v>
      </x:c>
      <x:c r="F238" s="27" t="str">
        <x:v>修士課程</x:v>
      </x:c>
      <x:c r="G238" s="27" t="str">
        <x:v>系別公表値（特別選考等の除外あり）</x:v>
      </x:c>
      <x:c r="H238" s="27" t="str">
        <x:v>专攻/系</x:v>
      </x:c>
      <x:c r="I238" s="44"/>
      <x:c r="J238" s="44" t="n">
        <x:v>150</x:v>
      </x:c>
      <x:c r="K238" s="44"/>
      <x:c r="L238" s="44" t="n">
        <x:v>79</x:v>
      </x:c>
      <x:c r="M238" s="44"/>
      <x:c r="N238" s="45" t="n">
        <x:f>IF(AND(J238&lt;&gt;"",L238&lt;&gt;0),J238/L238,"")</x:f>
        <x:v>1.8987341772151898</x:v>
      </x:c>
      <x:c r="O238" s="45" t="str">
        <x:f>IF(AND(K238&lt;&gt;"",L238&lt;&gt;0),K238/L238,"")</x:f>
      </x:c>
      <x:c r="P238" s="46" t="str">
        <x:f>IF(AND(K238&lt;&gt;"",K238&lt;&gt;0,L238&lt;&gt;""),L238/K238,"")</x:f>
      </x:c>
      <x:c r="Q238" s="46" t="str">
        <x:f>IF(AND(L238&lt;&gt;"",L238&lt;&gt;0,M238&lt;&gt;""),M238/L238,"")</x:f>
      </x:c>
      <x:c r="R238" s="45" t="n">
        <x:f>IF(N238&lt;&gt;"",N238,IF(O238&lt;&gt;"",O238,""))</x:f>
        <x:v>1.8987341772151898</x:v>
      </x:c>
      <x:c r="S238" s="2" t="str">
        <x:f>IF(N238&lt;&gt;"","志愿/合格",IF(O238&lt;&gt;"","受验/合格",""))</x:f>
        <x:v>志愿/合格</x:v>
      </x:c>
      <x:c r="T238" s="2" t="str">
        <x:v>官方</x:v>
      </x:c>
      <x:c r="U238" s="2" t="str">
        <x:v>高</x:v>
      </x:c>
      <x:c r="V238" s="27" t="str">
        <x:v>2025年4月入学及び2024年9月入学 東京科学大学大学院修士課程・専門職学位課程入学試験結果</x:v>
      </x:c>
      <x:c r="W238" s="27" t="str">
        <x:v>PDF p.1「系別」表／情報通信系行</x:v>
      </x:c>
      <x:c r="X238" s="27" t="str">
        <x:v>https://admissions.isct.ac.jp/plugins/cms/component_download_file.php?contentsDataId=&amp;contentsId=&amp;fileName=2025_record_master&amp;key=ba0f61bd956e12e9d0a3006c2c3231b3.pdf&amp;pageId=3284&amp;prevId=&amp;type=1</x:v>
      </x:c>
      <x:c r="Y238" s="27" t="str">
        <x:v>学院合計ではなく、当該「系」の行。</x:v>
      </x:c>
      <x:c r="Z238"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39" ht="38" customHeight="1">
      <x:c r="A239" s="2" t="str">
        <x:v>東京科学大学（旧・東京工業大学）</x:v>
      </x:c>
      <x:c r="B239" s="2" t="str">
        <x:v>工学院</x:v>
      </x:c>
      <x:c r="C239" s="2" t="str">
        <x:v>情報通信系</x:v>
      </x:c>
      <x:c r="D239" s="44" t="n">
        <x:v>2026</x:v>
      </x:c>
      <x:c r="E239" s="27" t="str">
        <x:v>2026年4月・2025年9月入学合計</x:v>
      </x:c>
      <x:c r="F239" s="27" t="str">
        <x:v>修士課程</x:v>
      </x:c>
      <x:c r="G239" s="27" t="str">
        <x:v>系別公表値（特別選考等の除外あり）</x:v>
      </x:c>
      <x:c r="H239" s="27" t="str">
        <x:v>专攻/系</x:v>
      </x:c>
      <x:c r="I239" s="44"/>
      <x:c r="J239" s="44" t="n">
        <x:v>129</x:v>
      </x:c>
      <x:c r="K239" s="44"/>
      <x:c r="L239" s="44" t="n">
        <x:v>75</x:v>
      </x:c>
      <x:c r="M239" s="44"/>
      <x:c r="N239" s="45" t="n">
        <x:f>IF(AND(J239&lt;&gt;"",L239&lt;&gt;0),J239/L239,"")</x:f>
        <x:v>1.72</x:v>
      </x:c>
      <x:c r="O239" s="45" t="str">
        <x:f>IF(AND(K239&lt;&gt;"",L239&lt;&gt;0),K239/L239,"")</x:f>
      </x:c>
      <x:c r="P239" s="46" t="str">
        <x:f>IF(AND(K239&lt;&gt;"",K239&lt;&gt;0,L239&lt;&gt;""),L239/K239,"")</x:f>
      </x:c>
      <x:c r="Q239" s="46" t="str">
        <x:f>IF(AND(L239&lt;&gt;"",L239&lt;&gt;0,M239&lt;&gt;""),M239/L239,"")</x:f>
      </x:c>
      <x:c r="R239" s="45" t="n">
        <x:f>IF(N239&lt;&gt;"",N239,IF(O239&lt;&gt;"",O239,""))</x:f>
        <x:v>1.72</x:v>
      </x:c>
      <x:c r="S239" s="2" t="str">
        <x:f>IF(N239&lt;&gt;"","志愿/合格",IF(O239&lt;&gt;"","受验/合格",""))</x:f>
        <x:v>志愿/合格</x:v>
      </x:c>
      <x:c r="T239" s="2" t="str">
        <x:v>官方</x:v>
      </x:c>
      <x:c r="U239" s="2" t="str">
        <x:v>高</x:v>
      </x:c>
      <x:c r="V239" s="27" t="str">
        <x:v>2026年4月入学及び2025年9月入学 東京科学大学大学院修士課程・専門職学位課程入学試験結果</x:v>
      </x:c>
      <x:c r="W239" s="27" t="str">
        <x:v>PDF p.1「系別」表／情報通信系行</x:v>
      </x:c>
      <x:c r="X239" s="27" t="str">
        <x:v>https://admissions.isct.ac.jp/plugins/cms/component_download_file.php?contentsDataId=&amp;contentsId=&amp;fileName=2026_record_master&amp;key=88014858637abe4c910ab16731dd187d.pdf&amp;pageId=3284&amp;prevId=&amp;type=1</x:v>
      </x:c>
      <x:c r="Y239" s="27" t="str">
        <x:v>学院合計ではなく、当該「系」の行。</x:v>
      </x:c>
      <x:c r="Z239"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40" ht="38" customHeight="1">
      <x:c r="A240" s="2" t="str">
        <x:v>東京科学大学（旧・東京工業大学）</x:v>
      </x:c>
      <x:c r="B240" s="2" t="str">
        <x:v>工学院</x:v>
      </x:c>
      <x:c r="C240" s="2" t="str">
        <x:v>電気電子系</x:v>
      </x:c>
      <x:c r="D240" s="44" t="n">
        <x:v>2022</x:v>
      </x:c>
      <x:c r="E240" s="27" t="str">
        <x:v>2022年4月・2021年9月入学合計</x:v>
      </x:c>
      <x:c r="F240" s="27" t="str">
        <x:v>修士課程</x:v>
      </x:c>
      <x:c r="G240" s="27" t="str">
        <x:v>系別公表値（特別選考等の除外あり）</x:v>
      </x:c>
      <x:c r="H240" s="27" t="str">
        <x:v>专攻/系</x:v>
      </x:c>
      <x:c r="I240" s="44"/>
      <x:c r="J240" s="44" t="n">
        <x:v>252</x:v>
      </x:c>
      <x:c r="K240" s="44"/>
      <x:c r="L240" s="44" t="n">
        <x:v>175</x:v>
      </x:c>
      <x:c r="M240" s="44"/>
      <x:c r="N240" s="45" t="n">
        <x:f>IF(AND(J240&lt;&gt;"",L240&lt;&gt;0),J240/L240,"")</x:f>
        <x:v>1.44</x:v>
      </x:c>
      <x:c r="O240" s="45" t="str">
        <x:f>IF(AND(K240&lt;&gt;"",L240&lt;&gt;0),K240/L240,"")</x:f>
      </x:c>
      <x:c r="P240" s="46" t="str">
        <x:f>IF(AND(K240&lt;&gt;"",K240&lt;&gt;0,L240&lt;&gt;""),L240/K240,"")</x:f>
      </x:c>
      <x:c r="Q240" s="46" t="str">
        <x:f>IF(AND(L240&lt;&gt;"",L240&lt;&gt;0,M240&lt;&gt;""),M240/L240,"")</x:f>
      </x:c>
      <x:c r="R240" s="45" t="n">
        <x:f>IF(N240&lt;&gt;"",N240,IF(O240&lt;&gt;"",O240,""))</x:f>
        <x:v>1.44</x:v>
      </x:c>
      <x:c r="S240" s="2" t="str">
        <x:f>IF(N240&lt;&gt;"","志愿/合格",IF(O240&lt;&gt;"","受验/合格",""))</x:f>
        <x:v>志愿/合格</x:v>
      </x:c>
      <x:c r="T240" s="2" t="str">
        <x:v>官方</x:v>
      </x:c>
      <x:c r="U240" s="2" t="str">
        <x:v>高</x:v>
      </x:c>
      <x:c r="V240" s="27" t="str">
        <x:v>2022年4月入学及び2021年9月入学 東京工業大学大学院修士課程・専門職学位課程入学試験結果</x:v>
      </x:c>
      <x:c r="W240" s="27" t="str">
        <x:v>PDF p.1「系別」表／電気電子系行</x:v>
      </x:c>
      <x:c r="X240" s="27" t="str">
        <x:v>https://admissions.isct.ac.jp/plugins/cms/component_download_file.php?contentsDataId=&amp;contentsId=&amp;fileName=2022-record-master&amp;key=43bb683af1f294642c21703b15823643.pdf&amp;pageId=3284&amp;prevId=&amp;type=1</x:v>
      </x:c>
      <x:c r="Y240" s="27" t="str">
        <x:v>学院合計ではなく、当該「系」の行。</x:v>
      </x:c>
      <x:c r="Z240"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41" ht="38" customHeight="1">
      <x:c r="A241" s="2" t="str">
        <x:v>東京科学大学（旧・東京工業大学）</x:v>
      </x:c>
      <x:c r="B241" s="2" t="str">
        <x:v>工学院</x:v>
      </x:c>
      <x:c r="C241" s="2" t="str">
        <x:v>電気電子系</x:v>
      </x:c>
      <x:c r="D241" s="44" t="n">
        <x:v>2023</x:v>
      </x:c>
      <x:c r="E241" s="27" t="str">
        <x:v>2023年4月・2022年9月入学合計</x:v>
      </x:c>
      <x:c r="F241" s="27" t="str">
        <x:v>修士課程</x:v>
      </x:c>
      <x:c r="G241" s="27" t="str">
        <x:v>系別公表値（特別選考等の除外あり）</x:v>
      </x:c>
      <x:c r="H241" s="27" t="str">
        <x:v>专攻/系</x:v>
      </x:c>
      <x:c r="I241" s="44"/>
      <x:c r="J241" s="44" t="n">
        <x:v>283</x:v>
      </x:c>
      <x:c r="K241" s="44"/>
      <x:c r="L241" s="44" t="n">
        <x:v>175</x:v>
      </x:c>
      <x:c r="M241" s="44"/>
      <x:c r="N241" s="45" t="n">
        <x:f>IF(AND(J241&lt;&gt;"",L241&lt;&gt;0),J241/L241,"")</x:f>
        <x:v>1.6171428571428572</x:v>
      </x:c>
      <x:c r="O241" s="45" t="str">
        <x:f>IF(AND(K241&lt;&gt;"",L241&lt;&gt;0),K241/L241,"")</x:f>
      </x:c>
      <x:c r="P241" s="46" t="str">
        <x:f>IF(AND(K241&lt;&gt;"",K241&lt;&gt;0,L241&lt;&gt;""),L241/K241,"")</x:f>
      </x:c>
      <x:c r="Q241" s="46" t="str">
        <x:f>IF(AND(L241&lt;&gt;"",L241&lt;&gt;0,M241&lt;&gt;""),M241/L241,"")</x:f>
      </x:c>
      <x:c r="R241" s="45" t="n">
        <x:f>IF(N241&lt;&gt;"",N241,IF(O241&lt;&gt;"",O241,""))</x:f>
        <x:v>1.6171428571428572</x:v>
      </x:c>
      <x:c r="S241" s="2" t="str">
        <x:f>IF(N241&lt;&gt;"","志愿/合格",IF(O241&lt;&gt;"","受验/合格",""))</x:f>
        <x:v>志愿/合格</x:v>
      </x:c>
      <x:c r="T241" s="2" t="str">
        <x:v>官方</x:v>
      </x:c>
      <x:c r="U241" s="2" t="str">
        <x:v>高</x:v>
      </x:c>
      <x:c r="V241" s="27" t="str">
        <x:v>2023年4月入学及び2022年9月入学 東京工業大学大学院修士課程・専門職学位課程入学試験結果</x:v>
      </x:c>
      <x:c r="W241" s="27" t="str">
        <x:v>PDF p.1「系別」表／電気電子系行</x:v>
      </x:c>
      <x:c r="X241" s="27" t="str">
        <x:v>https://admissions.isct.ac.jp/plugins/cms/component_download_file.php?contentsDataId=&amp;contentsId=&amp;fileName=2023-record-master&amp;key=c8b346e6ebcd7e97a3ed00de3bfcbb7b.pdf&amp;pageId=3284&amp;prevId=&amp;type=1</x:v>
      </x:c>
      <x:c r="Y241" s="27" t="str">
        <x:v>学院合計ではなく、当該「系」の行。</x:v>
      </x:c>
      <x:c r="Z241"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42" ht="38" customHeight="1">
      <x:c r="A242" s="2" t="str">
        <x:v>東京科学大学（旧・東京工業大学）</x:v>
      </x:c>
      <x:c r="B242" s="2" t="str">
        <x:v>工学院</x:v>
      </x:c>
      <x:c r="C242" s="2" t="str">
        <x:v>電気電子系</x:v>
      </x:c>
      <x:c r="D242" s="44" t="n">
        <x:v>2024</x:v>
      </x:c>
      <x:c r="E242" s="27" t="str">
        <x:v>2024年4月・2023年9月入学合計</x:v>
      </x:c>
      <x:c r="F242" s="27" t="str">
        <x:v>修士課程</x:v>
      </x:c>
      <x:c r="G242" s="27" t="str">
        <x:v>系別公表値（特別選考等の除外あり）</x:v>
      </x:c>
      <x:c r="H242" s="27" t="str">
        <x:v>专攻/系</x:v>
      </x:c>
      <x:c r="I242" s="44"/>
      <x:c r="J242" s="44" t="n">
        <x:v>355</x:v>
      </x:c>
      <x:c r="K242" s="44"/>
      <x:c r="L242" s="44" t="n">
        <x:v>171</x:v>
      </x:c>
      <x:c r="M242" s="44"/>
      <x:c r="N242" s="45" t="n">
        <x:f>IF(AND(J242&lt;&gt;"",L242&lt;&gt;0),J242/L242,"")</x:f>
        <x:v>2.0760233918128654</x:v>
      </x:c>
      <x:c r="O242" s="45" t="str">
        <x:f>IF(AND(K242&lt;&gt;"",L242&lt;&gt;0),K242/L242,"")</x:f>
      </x:c>
      <x:c r="P242" s="46" t="str">
        <x:f>IF(AND(K242&lt;&gt;"",K242&lt;&gt;0,L242&lt;&gt;""),L242/K242,"")</x:f>
      </x:c>
      <x:c r="Q242" s="46" t="str">
        <x:f>IF(AND(L242&lt;&gt;"",L242&lt;&gt;0,M242&lt;&gt;""),M242/L242,"")</x:f>
      </x:c>
      <x:c r="R242" s="45" t="n">
        <x:f>IF(N242&lt;&gt;"",N242,IF(O242&lt;&gt;"",O242,""))</x:f>
        <x:v>2.0760233918128654</x:v>
      </x:c>
      <x:c r="S242" s="2" t="str">
        <x:f>IF(N242&lt;&gt;"","志愿/合格",IF(O242&lt;&gt;"","受验/合格",""))</x:f>
        <x:v>志愿/合格</x:v>
      </x:c>
      <x:c r="T242" s="2" t="str">
        <x:v>官方</x:v>
      </x:c>
      <x:c r="U242" s="2" t="str">
        <x:v>高</x:v>
      </x:c>
      <x:c r="V242" s="27" t="str">
        <x:v>2024年4月入学及び2023年9月入学 東京工業大学大学院修士課程・専門職学位課程入学試験結果</x:v>
      </x:c>
      <x:c r="W242" s="27" t="str">
        <x:v>PDF p.1「系別」表／電気電子系行</x:v>
      </x:c>
      <x:c r="X242" s="27" t="str">
        <x:v>https://admissions.isct.ac.jp/plugins/cms/component_download_file.php?contentsDataId=&amp;contentsId=&amp;fileName=2024_record_master&amp;key=8d378f7061bc18ecfeb418efcbf2c515.pdf&amp;pageId=3284&amp;prevId=&amp;type=1</x:v>
      </x:c>
      <x:c r="Y242" s="27" t="str">
        <x:v>学院合計ではなく、当該「系」の行。</x:v>
      </x:c>
      <x:c r="Z242"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43" ht="38" customHeight="1">
      <x:c r="A243" s="2" t="str">
        <x:v>東京科学大学（旧・東京工業大学）</x:v>
      </x:c>
      <x:c r="B243" s="2" t="str">
        <x:v>工学院</x:v>
      </x:c>
      <x:c r="C243" s="2" t="str">
        <x:v>電気電子系</x:v>
      </x:c>
      <x:c r="D243" s="44" t="n">
        <x:v>2025</x:v>
      </x:c>
      <x:c r="E243" s="27" t="str">
        <x:v>2025年4月・2024年9月入学合計</x:v>
      </x:c>
      <x:c r="F243" s="27" t="str">
        <x:v>修士課程</x:v>
      </x:c>
      <x:c r="G243" s="27" t="str">
        <x:v>系別公表値（特別選考等の除外あり）</x:v>
      </x:c>
      <x:c r="H243" s="27" t="str">
        <x:v>专攻/系</x:v>
      </x:c>
      <x:c r="I243" s="44"/>
      <x:c r="J243" s="44" t="n">
        <x:v>356</x:v>
      </x:c>
      <x:c r="K243" s="44"/>
      <x:c r="L243" s="44" t="n">
        <x:v>175</x:v>
      </x:c>
      <x:c r="M243" s="44"/>
      <x:c r="N243" s="45" t="n">
        <x:f>IF(AND(J243&lt;&gt;"",L243&lt;&gt;0),J243/L243,"")</x:f>
        <x:v>2.0342857142857143</x:v>
      </x:c>
      <x:c r="O243" s="45" t="str">
        <x:f>IF(AND(K243&lt;&gt;"",L243&lt;&gt;0),K243/L243,"")</x:f>
      </x:c>
      <x:c r="P243" s="46" t="str">
        <x:f>IF(AND(K243&lt;&gt;"",K243&lt;&gt;0,L243&lt;&gt;""),L243/K243,"")</x:f>
      </x:c>
      <x:c r="Q243" s="46" t="str">
        <x:f>IF(AND(L243&lt;&gt;"",L243&lt;&gt;0,M243&lt;&gt;""),M243/L243,"")</x:f>
      </x:c>
      <x:c r="R243" s="45" t="n">
        <x:f>IF(N243&lt;&gt;"",N243,IF(O243&lt;&gt;"",O243,""))</x:f>
        <x:v>2.0342857142857143</x:v>
      </x:c>
      <x:c r="S243" s="2" t="str">
        <x:f>IF(N243&lt;&gt;"","志愿/合格",IF(O243&lt;&gt;"","受验/合格",""))</x:f>
        <x:v>志愿/合格</x:v>
      </x:c>
      <x:c r="T243" s="2" t="str">
        <x:v>官方</x:v>
      </x:c>
      <x:c r="U243" s="2" t="str">
        <x:v>高</x:v>
      </x:c>
      <x:c r="V243" s="27" t="str">
        <x:v>2025年4月入学及び2024年9月入学 東京科学大学大学院修士課程・専門職学位課程入学試験結果</x:v>
      </x:c>
      <x:c r="W243" s="27" t="str">
        <x:v>PDF p.1「系別」表／電気電子系行</x:v>
      </x:c>
      <x:c r="X243" s="27" t="str">
        <x:v>https://admissions.isct.ac.jp/plugins/cms/component_download_file.php?contentsDataId=&amp;contentsId=&amp;fileName=2025_record_master&amp;key=ba0f61bd956e12e9d0a3006c2c3231b3.pdf&amp;pageId=3284&amp;prevId=&amp;type=1</x:v>
      </x:c>
      <x:c r="Y243" s="27" t="str">
        <x:v>学院合計ではなく、当該「系」の行。</x:v>
      </x:c>
      <x:c r="Z243"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44" ht="38" customHeight="1">
      <x:c r="A244" s="2" t="str">
        <x:v>東京科学大学（旧・東京工業大学）</x:v>
      </x:c>
      <x:c r="B244" s="2" t="str">
        <x:v>工学院</x:v>
      </x:c>
      <x:c r="C244" s="2" t="str">
        <x:v>電気電子系</x:v>
      </x:c>
      <x:c r="D244" s="44" t="n">
        <x:v>2026</x:v>
      </x:c>
      <x:c r="E244" s="27" t="str">
        <x:v>2026年4月・2025年9月入学合計</x:v>
      </x:c>
      <x:c r="F244" s="27" t="str">
        <x:v>修士課程</x:v>
      </x:c>
      <x:c r="G244" s="27" t="str">
        <x:v>系別公表値（特別選考等の除外あり）</x:v>
      </x:c>
      <x:c r="H244" s="27" t="str">
        <x:v>专攻/系</x:v>
      </x:c>
      <x:c r="I244" s="44"/>
      <x:c r="J244" s="44" t="n">
        <x:v>392</x:v>
      </x:c>
      <x:c r="K244" s="44"/>
      <x:c r="L244" s="44" t="n">
        <x:v>177</x:v>
      </x:c>
      <x:c r="M244" s="44"/>
      <x:c r="N244" s="45" t="n">
        <x:f>IF(AND(J244&lt;&gt;"",L244&lt;&gt;0),J244/L244,"")</x:f>
        <x:v>2.214689265536723</x:v>
      </x:c>
      <x:c r="O244" s="45" t="str">
        <x:f>IF(AND(K244&lt;&gt;"",L244&lt;&gt;0),K244/L244,"")</x:f>
      </x:c>
      <x:c r="P244" s="46" t="str">
        <x:f>IF(AND(K244&lt;&gt;"",K244&lt;&gt;0,L244&lt;&gt;""),L244/K244,"")</x:f>
      </x:c>
      <x:c r="Q244" s="46" t="str">
        <x:f>IF(AND(L244&lt;&gt;"",L244&lt;&gt;0,M244&lt;&gt;""),M244/L244,"")</x:f>
      </x:c>
      <x:c r="R244" s="45" t="n">
        <x:f>IF(N244&lt;&gt;"",N244,IF(O244&lt;&gt;"",O244,""))</x:f>
        <x:v>2.214689265536723</x:v>
      </x:c>
      <x:c r="S244" s="2" t="str">
        <x:f>IF(N244&lt;&gt;"","志愿/合格",IF(O244&lt;&gt;"","受验/合格",""))</x:f>
        <x:v>志愿/合格</x:v>
      </x:c>
      <x:c r="T244" s="2" t="str">
        <x:v>官方</x:v>
      </x:c>
      <x:c r="U244" s="2" t="str">
        <x:v>高</x:v>
      </x:c>
      <x:c r="V244" s="27" t="str">
        <x:v>2026年4月入学及び2025年9月入学 東京科学大学大学院修士課程・専門職学位課程入学試験結果</x:v>
      </x:c>
      <x:c r="W244" s="27" t="str">
        <x:v>PDF p.1「系別」表／電気電子系行</x:v>
      </x:c>
      <x:c r="X244" s="27" t="str">
        <x:v>https://admissions.isct.ac.jp/plugins/cms/component_download_file.php?contentsDataId=&amp;contentsId=&amp;fileName=2026_record_master&amp;key=88014858637abe4c910ab16731dd187d.pdf&amp;pageId=3284&amp;prevId=&amp;type=1</x:v>
      </x:c>
      <x:c r="Y244" s="27" t="str">
        <x:v>学院合計ではなく、当該「系」の行。</x:v>
      </x:c>
      <x:c r="Z244"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45" ht="38" customHeight="1">
      <x:c r="A245" s="2" t="str">
        <x:v>東京科学大学（旧・東京工業大学）</x:v>
      </x:c>
      <x:c r="B245" s="2" t="str">
        <x:v>情報理工学院</x:v>
      </x:c>
      <x:c r="C245" s="2" t="str">
        <x:v>情報工学系</x:v>
      </x:c>
      <x:c r="D245" s="44" t="n">
        <x:v>2022</x:v>
      </x:c>
      <x:c r="E245" s="27" t="str">
        <x:v>2022年4月・2021年9月入学合計</x:v>
      </x:c>
      <x:c r="F245" s="27" t="str">
        <x:v>修士課程</x:v>
      </x:c>
      <x:c r="G245" s="27" t="str">
        <x:v>系別公表値（特別選考等の除外あり）</x:v>
      </x:c>
      <x:c r="H245" s="27" t="str">
        <x:v>专攻/系</x:v>
      </x:c>
      <x:c r="I245" s="44"/>
      <x:c r="J245" s="44" t="n">
        <x:v>242</x:v>
      </x:c>
      <x:c r="K245" s="44"/>
      <x:c r="L245" s="44" t="n">
        <x:v>113</x:v>
      </x:c>
      <x:c r="M245" s="44"/>
      <x:c r="N245" s="45" t="n">
        <x:f>IF(AND(J245&lt;&gt;"",L245&lt;&gt;0),J245/L245,"")</x:f>
        <x:v>2.1415929203539825</x:v>
      </x:c>
      <x:c r="O245" s="45" t="str">
        <x:f>IF(AND(K245&lt;&gt;"",L245&lt;&gt;0),K245/L245,"")</x:f>
      </x:c>
      <x:c r="P245" s="46" t="str">
        <x:f>IF(AND(K245&lt;&gt;"",K245&lt;&gt;0,L245&lt;&gt;""),L245/K245,"")</x:f>
      </x:c>
      <x:c r="Q245" s="46" t="str">
        <x:f>IF(AND(L245&lt;&gt;"",L245&lt;&gt;0,M245&lt;&gt;""),M245/L245,"")</x:f>
      </x:c>
      <x:c r="R245" s="45" t="n">
        <x:f>IF(N245&lt;&gt;"",N245,IF(O245&lt;&gt;"",O245,""))</x:f>
        <x:v>2.1415929203539825</x:v>
      </x:c>
      <x:c r="S245" s="2" t="str">
        <x:f>IF(N245&lt;&gt;"","志愿/合格",IF(O245&lt;&gt;"","受验/合格",""))</x:f>
        <x:v>志愿/合格</x:v>
      </x:c>
      <x:c r="T245" s="2" t="str">
        <x:v>官方</x:v>
      </x:c>
      <x:c r="U245" s="2" t="str">
        <x:v>高</x:v>
      </x:c>
      <x:c r="V245" s="27" t="str">
        <x:v>2022年4月入学及び2021年9月入学 東京工業大学大学院修士課程・専門職学位課程入学試験結果</x:v>
      </x:c>
      <x:c r="W245" s="27" t="str">
        <x:v>PDF p.1「系別」表／情報工学系行</x:v>
      </x:c>
      <x:c r="X245" s="27" t="str">
        <x:v>https://admissions.isct.ac.jp/plugins/cms/component_download_file.php?contentsDataId=&amp;contentsId=&amp;fileName=2022-record-master&amp;key=43bb683af1f294642c21703b15823643.pdf&amp;pageId=3284&amp;prevId=&amp;type=1</x:v>
      </x:c>
      <x:c r="Y245" s="27" t="str">
        <x:v>学院合計ではなく、当該「系」の行。</x:v>
      </x:c>
      <x:c r="Z245"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46" ht="38" customHeight="1">
      <x:c r="A246" s="2" t="str">
        <x:v>東京科学大学（旧・東京工業大学）</x:v>
      </x:c>
      <x:c r="B246" s="2" t="str">
        <x:v>情報理工学院</x:v>
      </x:c>
      <x:c r="C246" s="2" t="str">
        <x:v>情報工学系</x:v>
      </x:c>
      <x:c r="D246" s="44" t="n">
        <x:v>2023</x:v>
      </x:c>
      <x:c r="E246" s="27" t="str">
        <x:v>2023年4月・2022年9月入学合計</x:v>
      </x:c>
      <x:c r="F246" s="27" t="str">
        <x:v>修士課程</x:v>
      </x:c>
      <x:c r="G246" s="27" t="str">
        <x:v>系別公表値（特別選考等の除外あり）</x:v>
      </x:c>
      <x:c r="H246" s="27" t="str">
        <x:v>专攻/系</x:v>
      </x:c>
      <x:c r="I246" s="44"/>
      <x:c r="J246" s="44" t="n">
        <x:v>236</x:v>
      </x:c>
      <x:c r="K246" s="44"/>
      <x:c r="L246" s="44" t="n">
        <x:v>115</x:v>
      </x:c>
      <x:c r="M246" s="44"/>
      <x:c r="N246" s="45" t="n">
        <x:f>IF(AND(J246&lt;&gt;"",L246&lt;&gt;0),J246/L246,"")</x:f>
        <x:v>2.0521739130434784</x:v>
      </x:c>
      <x:c r="O246" s="45" t="str">
        <x:f>IF(AND(K246&lt;&gt;"",L246&lt;&gt;0),K246/L246,"")</x:f>
      </x:c>
      <x:c r="P246" s="46" t="str">
        <x:f>IF(AND(K246&lt;&gt;"",K246&lt;&gt;0,L246&lt;&gt;""),L246/K246,"")</x:f>
      </x:c>
      <x:c r="Q246" s="46" t="str">
        <x:f>IF(AND(L246&lt;&gt;"",L246&lt;&gt;0,M246&lt;&gt;""),M246/L246,"")</x:f>
      </x:c>
      <x:c r="R246" s="45" t="n">
        <x:f>IF(N246&lt;&gt;"",N246,IF(O246&lt;&gt;"",O246,""))</x:f>
        <x:v>2.0521739130434784</x:v>
      </x:c>
      <x:c r="S246" s="2" t="str">
        <x:f>IF(N246&lt;&gt;"","志愿/合格",IF(O246&lt;&gt;"","受验/合格",""))</x:f>
        <x:v>志愿/合格</x:v>
      </x:c>
      <x:c r="T246" s="2" t="str">
        <x:v>官方</x:v>
      </x:c>
      <x:c r="U246" s="2" t="str">
        <x:v>高</x:v>
      </x:c>
      <x:c r="V246" s="27" t="str">
        <x:v>2023年4月入学及び2022年9月入学 東京工業大学大学院修士課程・専門職学位課程入学試験結果</x:v>
      </x:c>
      <x:c r="W246" s="27" t="str">
        <x:v>PDF p.1「系別」表／情報工学系行</x:v>
      </x:c>
      <x:c r="X246" s="27" t="str">
        <x:v>https://admissions.isct.ac.jp/plugins/cms/component_download_file.php?contentsDataId=&amp;contentsId=&amp;fileName=2023-record-master&amp;key=c8b346e6ebcd7e97a3ed00de3bfcbb7b.pdf&amp;pageId=3284&amp;prevId=&amp;type=1</x:v>
      </x:c>
      <x:c r="Y246" s="27" t="str">
        <x:v>学院合計ではなく、当該「系」の行。</x:v>
      </x:c>
      <x:c r="Z246"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47" ht="38" customHeight="1">
      <x:c r="A247" s="2" t="str">
        <x:v>東京科学大学（旧・東京工業大学）</x:v>
      </x:c>
      <x:c r="B247" s="2" t="str">
        <x:v>情報理工学院</x:v>
      </x:c>
      <x:c r="C247" s="2" t="str">
        <x:v>情報工学系</x:v>
      </x:c>
      <x:c r="D247" s="44" t="n">
        <x:v>2024</x:v>
      </x:c>
      <x:c r="E247" s="27" t="str">
        <x:v>2024年4月・2023年9月入学合計</x:v>
      </x:c>
      <x:c r="F247" s="27" t="str">
        <x:v>修士課程</x:v>
      </x:c>
      <x:c r="G247" s="27" t="str">
        <x:v>系別公表値（特別選考等の除外あり）</x:v>
      </x:c>
      <x:c r="H247" s="27" t="str">
        <x:v>专攻/系</x:v>
      </x:c>
      <x:c r="I247" s="44"/>
      <x:c r="J247" s="44" t="n">
        <x:v>344</x:v>
      </x:c>
      <x:c r="K247" s="44"/>
      <x:c r="L247" s="44" t="n">
        <x:v>115</x:v>
      </x:c>
      <x:c r="M247" s="44"/>
      <x:c r="N247" s="45" t="n">
        <x:f>IF(AND(J247&lt;&gt;"",L247&lt;&gt;0),J247/L247,"")</x:f>
        <x:v>2.991304347826087</x:v>
      </x:c>
      <x:c r="O247" s="45" t="str">
        <x:f>IF(AND(K247&lt;&gt;"",L247&lt;&gt;0),K247/L247,"")</x:f>
      </x:c>
      <x:c r="P247" s="46" t="str">
        <x:f>IF(AND(K247&lt;&gt;"",K247&lt;&gt;0,L247&lt;&gt;""),L247/K247,"")</x:f>
      </x:c>
      <x:c r="Q247" s="46" t="str">
        <x:f>IF(AND(L247&lt;&gt;"",L247&lt;&gt;0,M247&lt;&gt;""),M247/L247,"")</x:f>
      </x:c>
      <x:c r="R247" s="45" t="n">
        <x:f>IF(N247&lt;&gt;"",N247,IF(O247&lt;&gt;"",O247,""))</x:f>
        <x:v>2.991304347826087</x:v>
      </x:c>
      <x:c r="S247" s="2" t="str">
        <x:f>IF(N247&lt;&gt;"","志愿/合格",IF(O247&lt;&gt;"","受验/合格",""))</x:f>
        <x:v>志愿/合格</x:v>
      </x:c>
      <x:c r="T247" s="2" t="str">
        <x:v>官方</x:v>
      </x:c>
      <x:c r="U247" s="2" t="str">
        <x:v>高</x:v>
      </x:c>
      <x:c r="V247" s="27" t="str">
        <x:v>2024年4月入学及び2023年9月入学 東京工業大学大学院修士課程・専門職学位課程入学試験結果</x:v>
      </x:c>
      <x:c r="W247" s="27" t="str">
        <x:v>PDF p.1「系別」表／情報工学系行</x:v>
      </x:c>
      <x:c r="X247" s="27" t="str">
        <x:v>https://admissions.isct.ac.jp/plugins/cms/component_download_file.php?contentsDataId=&amp;contentsId=&amp;fileName=2024_record_master&amp;key=8d378f7061bc18ecfeb418efcbf2c515.pdf&amp;pageId=3284&amp;prevId=&amp;type=1</x:v>
      </x:c>
      <x:c r="Y247" s="27" t="str">
        <x:v>学院合計ではなく、当該「系」の行。</x:v>
      </x:c>
      <x:c r="Z247"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48" ht="38" customHeight="1">
      <x:c r="A248" s="2" t="str">
        <x:v>東京科学大学（旧・東京工業大学）</x:v>
      </x:c>
      <x:c r="B248" s="2" t="str">
        <x:v>情報理工学院</x:v>
      </x:c>
      <x:c r="C248" s="2" t="str">
        <x:v>情報工学系</x:v>
      </x:c>
      <x:c r="D248" s="44" t="n">
        <x:v>2025</x:v>
      </x:c>
      <x:c r="E248" s="27" t="str">
        <x:v>2025年4月・2024年9月入学合計</x:v>
      </x:c>
      <x:c r="F248" s="27" t="str">
        <x:v>修士課程</x:v>
      </x:c>
      <x:c r="G248" s="27" t="str">
        <x:v>系別公表値（特別選考等の除外あり）</x:v>
      </x:c>
      <x:c r="H248" s="27" t="str">
        <x:v>专攻/系</x:v>
      </x:c>
      <x:c r="I248" s="44"/>
      <x:c r="J248" s="44" t="n">
        <x:v>363</x:v>
      </x:c>
      <x:c r="K248" s="44"/>
      <x:c r="L248" s="44" t="n">
        <x:v>113</x:v>
      </x:c>
      <x:c r="M248" s="44"/>
      <x:c r="N248" s="45" t="n">
        <x:f>IF(AND(J248&lt;&gt;"",L248&lt;&gt;0),J248/L248,"")</x:f>
        <x:v>3.2123893805309733</x:v>
      </x:c>
      <x:c r="O248" s="45" t="str">
        <x:f>IF(AND(K248&lt;&gt;"",L248&lt;&gt;0),K248/L248,"")</x:f>
      </x:c>
      <x:c r="P248" s="46" t="str">
        <x:f>IF(AND(K248&lt;&gt;"",K248&lt;&gt;0,L248&lt;&gt;""),L248/K248,"")</x:f>
      </x:c>
      <x:c r="Q248" s="46" t="str">
        <x:f>IF(AND(L248&lt;&gt;"",L248&lt;&gt;0,M248&lt;&gt;""),M248/L248,"")</x:f>
      </x:c>
      <x:c r="R248" s="45" t="n">
        <x:f>IF(N248&lt;&gt;"",N248,IF(O248&lt;&gt;"",O248,""))</x:f>
        <x:v>3.2123893805309733</x:v>
      </x:c>
      <x:c r="S248" s="2" t="str">
        <x:f>IF(N248&lt;&gt;"","志愿/合格",IF(O248&lt;&gt;"","受验/合格",""))</x:f>
        <x:v>志愿/合格</x:v>
      </x:c>
      <x:c r="T248" s="2" t="str">
        <x:v>官方</x:v>
      </x:c>
      <x:c r="U248" s="2" t="str">
        <x:v>高</x:v>
      </x:c>
      <x:c r="V248" s="27" t="str">
        <x:v>2025年4月入学及び2024年9月入学 東京科学大学大学院修士課程・専門職学位課程入学試験結果</x:v>
      </x:c>
      <x:c r="W248" s="27" t="str">
        <x:v>PDF p.1「系別」表／情報工学系行</x:v>
      </x:c>
      <x:c r="X248" s="27" t="str">
        <x:v>https://admissions.isct.ac.jp/plugins/cms/component_download_file.php?contentsDataId=&amp;contentsId=&amp;fileName=2025_record_master&amp;key=ba0f61bd956e12e9d0a3006c2c3231b3.pdf&amp;pageId=3284&amp;prevId=&amp;type=1</x:v>
      </x:c>
      <x:c r="Y248" s="27" t="str">
        <x:v>学院合計ではなく、当該「系」の行。</x:v>
      </x:c>
      <x:c r="Z248"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49" ht="38" customHeight="1">
      <x:c r="A249" s="2" t="str">
        <x:v>東京科学大学（旧・東京工業大学）</x:v>
      </x:c>
      <x:c r="B249" s="2" t="str">
        <x:v>情報理工学院</x:v>
      </x:c>
      <x:c r="C249" s="2" t="str">
        <x:v>情報工学系</x:v>
      </x:c>
      <x:c r="D249" s="44" t="n">
        <x:v>2026</x:v>
      </x:c>
      <x:c r="E249" s="27" t="str">
        <x:v>2026年4月・2025年9月入学合計</x:v>
      </x:c>
      <x:c r="F249" s="27" t="str">
        <x:v>修士課程</x:v>
      </x:c>
      <x:c r="G249" s="27" t="str">
        <x:v>系別公表値（特別選考等の除外あり）</x:v>
      </x:c>
      <x:c r="H249" s="27" t="str">
        <x:v>专攻/系</x:v>
      </x:c>
      <x:c r="I249" s="44"/>
      <x:c r="J249" s="44" t="n">
        <x:v>398</x:v>
      </x:c>
      <x:c r="K249" s="44"/>
      <x:c r="L249" s="44" t="n">
        <x:v>111</x:v>
      </x:c>
      <x:c r="M249" s="44"/>
      <x:c r="N249" s="45" t="n">
        <x:f>IF(AND(J249&lt;&gt;"",L249&lt;&gt;0),J249/L249,"")</x:f>
        <x:v>3.5855855855855854</x:v>
      </x:c>
      <x:c r="O249" s="45" t="str">
        <x:f>IF(AND(K249&lt;&gt;"",L249&lt;&gt;0),K249/L249,"")</x:f>
      </x:c>
      <x:c r="P249" s="46" t="str">
        <x:f>IF(AND(K249&lt;&gt;"",K249&lt;&gt;0,L249&lt;&gt;""),L249/K249,"")</x:f>
      </x:c>
      <x:c r="Q249" s="46" t="str">
        <x:f>IF(AND(L249&lt;&gt;"",L249&lt;&gt;0,M249&lt;&gt;""),M249/L249,"")</x:f>
      </x:c>
      <x:c r="R249" s="45" t="n">
        <x:f>IF(N249&lt;&gt;"",N249,IF(O249&lt;&gt;"",O249,""))</x:f>
        <x:v>3.5855855855855854</x:v>
      </x:c>
      <x:c r="S249" s="2" t="str">
        <x:f>IF(N249&lt;&gt;"","志愿/合格",IF(O249&lt;&gt;"","受验/合格",""))</x:f>
        <x:v>志愿/合格</x:v>
      </x:c>
      <x:c r="T249" s="2" t="str">
        <x:v>官方</x:v>
      </x:c>
      <x:c r="U249" s="2" t="str">
        <x:v>高</x:v>
      </x:c>
      <x:c r="V249" s="27" t="str">
        <x:v>2026年4月入学及び2025年9月入学 東京科学大学大学院修士課程・専門職学位課程入学試験結果</x:v>
      </x:c>
      <x:c r="W249" s="27" t="str">
        <x:v>PDF p.1「系別」表／情報工学系行</x:v>
      </x:c>
      <x:c r="X249" s="27" t="str">
        <x:v>https://admissions.isct.ac.jp/plugins/cms/component_download_file.php?contentsDataId=&amp;contentsId=&amp;fileName=2026_record_master&amp;key=88014858637abe4c910ab16731dd187d.pdf&amp;pageId=3284&amp;prevId=&amp;type=1</x:v>
      </x:c>
      <x:c r="Y249" s="27" t="str">
        <x:v>学院合計ではなく、当該「系」の行。</x:v>
      </x:c>
      <x:c r="Z249"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50" ht="38" customHeight="1">
      <x:c r="A250" s="2" t="str">
        <x:v>東京科学大学（旧・東京工業大学）</x:v>
      </x:c>
      <x:c r="B250" s="2" t="str">
        <x:v>情報理工学院</x:v>
      </x:c>
      <x:c r="C250" s="2" t="str">
        <x:v>数理・計算科学系</x:v>
      </x:c>
      <x:c r="D250" s="44" t="n">
        <x:v>2022</x:v>
      </x:c>
      <x:c r="E250" s="27" t="str">
        <x:v>2022年4月・2021年9月入学合計</x:v>
      </x:c>
      <x:c r="F250" s="27" t="str">
        <x:v>修士課程</x:v>
      </x:c>
      <x:c r="G250" s="27" t="str">
        <x:v>系別公表値（特別選考等の除外あり）</x:v>
      </x:c>
      <x:c r="H250" s="27" t="str">
        <x:v>专攻/系</x:v>
      </x:c>
      <x:c r="I250" s="44"/>
      <x:c r="J250" s="44" t="n">
        <x:v>75</x:v>
      </x:c>
      <x:c r="K250" s="44"/>
      <x:c r="L250" s="44" t="n">
        <x:v>50</x:v>
      </x:c>
      <x:c r="M250" s="44"/>
      <x:c r="N250" s="45" t="n">
        <x:f>IF(AND(J250&lt;&gt;"",L250&lt;&gt;0),J250/L250,"")</x:f>
        <x:v>1.5</x:v>
      </x:c>
      <x:c r="O250" s="45" t="str">
        <x:f>IF(AND(K250&lt;&gt;"",L250&lt;&gt;0),K250/L250,"")</x:f>
      </x:c>
      <x:c r="P250" s="46" t="str">
        <x:f>IF(AND(K250&lt;&gt;"",K250&lt;&gt;0,L250&lt;&gt;""),L250/K250,"")</x:f>
      </x:c>
      <x:c r="Q250" s="46" t="str">
        <x:f>IF(AND(L250&lt;&gt;"",L250&lt;&gt;0,M250&lt;&gt;""),M250/L250,"")</x:f>
      </x:c>
      <x:c r="R250" s="45" t="n">
        <x:f>IF(N250&lt;&gt;"",N250,IF(O250&lt;&gt;"",O250,""))</x:f>
        <x:v>1.5</x:v>
      </x:c>
      <x:c r="S250" s="2" t="str">
        <x:f>IF(N250&lt;&gt;"","志愿/合格",IF(O250&lt;&gt;"","受验/合格",""))</x:f>
        <x:v>志愿/合格</x:v>
      </x:c>
      <x:c r="T250" s="2" t="str">
        <x:v>官方</x:v>
      </x:c>
      <x:c r="U250" s="2" t="str">
        <x:v>高</x:v>
      </x:c>
      <x:c r="V250" s="27" t="str">
        <x:v>2022年4月入学及び2021年9月入学 東京工業大学大学院修士課程・専門職学位課程入学試験結果</x:v>
      </x:c>
      <x:c r="W250" s="27" t="str">
        <x:v>PDF p.1「系別」表／数理・計算科学系行</x:v>
      </x:c>
      <x:c r="X250" s="27" t="str">
        <x:v>https://admissions.isct.ac.jp/plugins/cms/component_download_file.php?contentsDataId=&amp;contentsId=&amp;fileName=2022-record-master&amp;key=43bb683af1f294642c21703b15823643.pdf&amp;pageId=3284&amp;prevId=&amp;type=1</x:v>
      </x:c>
      <x:c r="Y250" s="27" t="str">
        <x:v>学院合計ではなく、当該「系」の行。</x:v>
      </x:c>
      <x:c r="Z250"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51" ht="38" customHeight="1">
      <x:c r="A251" s="2" t="str">
        <x:v>東京科学大学（旧・東京工業大学）</x:v>
      </x:c>
      <x:c r="B251" s="2" t="str">
        <x:v>情報理工学院</x:v>
      </x:c>
      <x:c r="C251" s="2" t="str">
        <x:v>数理・計算科学系</x:v>
      </x:c>
      <x:c r="D251" s="44" t="n">
        <x:v>2023</x:v>
      </x:c>
      <x:c r="E251" s="27" t="str">
        <x:v>2023年4月・2022年9月入学合計</x:v>
      </x:c>
      <x:c r="F251" s="27" t="str">
        <x:v>修士課程</x:v>
      </x:c>
      <x:c r="G251" s="27" t="str">
        <x:v>系別公表値（特別選考等の除外あり）</x:v>
      </x:c>
      <x:c r="H251" s="27" t="str">
        <x:v>专攻/系</x:v>
      </x:c>
      <x:c r="I251" s="44"/>
      <x:c r="J251" s="44" t="n">
        <x:v>77</x:v>
      </x:c>
      <x:c r="K251" s="44"/>
      <x:c r="L251" s="44" t="n">
        <x:v>51</x:v>
      </x:c>
      <x:c r="M251" s="44"/>
      <x:c r="N251" s="45" t="n">
        <x:f>IF(AND(J251&lt;&gt;"",L251&lt;&gt;0),J251/L251,"")</x:f>
        <x:v>1.5098039215686274</x:v>
      </x:c>
      <x:c r="O251" s="45" t="str">
        <x:f>IF(AND(K251&lt;&gt;"",L251&lt;&gt;0),K251/L251,"")</x:f>
      </x:c>
      <x:c r="P251" s="46" t="str">
        <x:f>IF(AND(K251&lt;&gt;"",K251&lt;&gt;0,L251&lt;&gt;""),L251/K251,"")</x:f>
      </x:c>
      <x:c r="Q251" s="46" t="str">
        <x:f>IF(AND(L251&lt;&gt;"",L251&lt;&gt;0,M251&lt;&gt;""),M251/L251,"")</x:f>
      </x:c>
      <x:c r="R251" s="45" t="n">
        <x:f>IF(N251&lt;&gt;"",N251,IF(O251&lt;&gt;"",O251,""))</x:f>
        <x:v>1.5098039215686274</x:v>
      </x:c>
      <x:c r="S251" s="2" t="str">
        <x:f>IF(N251&lt;&gt;"","志愿/合格",IF(O251&lt;&gt;"","受验/合格",""))</x:f>
        <x:v>志愿/合格</x:v>
      </x:c>
      <x:c r="T251" s="2" t="str">
        <x:v>官方</x:v>
      </x:c>
      <x:c r="U251" s="2" t="str">
        <x:v>高</x:v>
      </x:c>
      <x:c r="V251" s="27" t="str">
        <x:v>2023年4月入学及び2022年9月入学 東京工業大学大学院修士課程・専門職学位課程入学試験結果</x:v>
      </x:c>
      <x:c r="W251" s="27" t="str">
        <x:v>PDF p.1「系別」表／数理・計算科学系行</x:v>
      </x:c>
      <x:c r="X251" s="27" t="str">
        <x:v>https://admissions.isct.ac.jp/plugins/cms/component_download_file.php?contentsDataId=&amp;contentsId=&amp;fileName=2023-record-master&amp;key=c8b346e6ebcd7e97a3ed00de3bfcbb7b.pdf&amp;pageId=3284&amp;prevId=&amp;type=1</x:v>
      </x:c>
      <x:c r="Y251" s="27" t="str">
        <x:v>学院合計ではなく、当該「系」の行。</x:v>
      </x:c>
      <x:c r="Z251"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52" ht="38" customHeight="1">
      <x:c r="A252" s="2" t="str">
        <x:v>東京科学大学（旧・東京工業大学）</x:v>
      </x:c>
      <x:c r="B252" s="2" t="str">
        <x:v>情報理工学院</x:v>
      </x:c>
      <x:c r="C252" s="2" t="str">
        <x:v>数理・計算科学系</x:v>
      </x:c>
      <x:c r="D252" s="44" t="n">
        <x:v>2024</x:v>
      </x:c>
      <x:c r="E252" s="27" t="str">
        <x:v>2024年4月・2023年9月入学合計</x:v>
      </x:c>
      <x:c r="F252" s="27" t="str">
        <x:v>修士課程</x:v>
      </x:c>
      <x:c r="G252" s="27" t="str">
        <x:v>系別公表値（特別選考等の除外あり）</x:v>
      </x:c>
      <x:c r="H252" s="27" t="str">
        <x:v>专攻/系</x:v>
      </x:c>
      <x:c r="I252" s="44"/>
      <x:c r="J252" s="44" t="n">
        <x:v>91</x:v>
      </x:c>
      <x:c r="K252" s="44"/>
      <x:c r="L252" s="44" t="n">
        <x:v>53</x:v>
      </x:c>
      <x:c r="M252" s="44"/>
      <x:c r="N252" s="45" t="n">
        <x:f>IF(AND(J252&lt;&gt;"",L252&lt;&gt;0),J252/L252,"")</x:f>
        <x:v>1.7169811320754718</x:v>
      </x:c>
      <x:c r="O252" s="45" t="str">
        <x:f>IF(AND(K252&lt;&gt;"",L252&lt;&gt;0),K252/L252,"")</x:f>
      </x:c>
      <x:c r="P252" s="46" t="str">
        <x:f>IF(AND(K252&lt;&gt;"",K252&lt;&gt;0,L252&lt;&gt;""),L252/K252,"")</x:f>
      </x:c>
      <x:c r="Q252" s="46" t="str">
        <x:f>IF(AND(L252&lt;&gt;"",L252&lt;&gt;0,M252&lt;&gt;""),M252/L252,"")</x:f>
      </x:c>
      <x:c r="R252" s="45" t="n">
        <x:f>IF(N252&lt;&gt;"",N252,IF(O252&lt;&gt;"",O252,""))</x:f>
        <x:v>1.7169811320754718</x:v>
      </x:c>
      <x:c r="S252" s="2" t="str">
        <x:f>IF(N252&lt;&gt;"","志愿/合格",IF(O252&lt;&gt;"","受验/合格",""))</x:f>
        <x:v>志愿/合格</x:v>
      </x:c>
      <x:c r="T252" s="2" t="str">
        <x:v>官方</x:v>
      </x:c>
      <x:c r="U252" s="2" t="str">
        <x:v>高</x:v>
      </x:c>
      <x:c r="V252" s="27" t="str">
        <x:v>2024年4月入学及び2023年9月入学 東京工業大学大学院修士課程・専門職学位課程入学試験結果</x:v>
      </x:c>
      <x:c r="W252" s="27" t="str">
        <x:v>PDF p.1「系別」表／数理・計算科学系行</x:v>
      </x:c>
      <x:c r="X252" s="27" t="str">
        <x:v>https://admissions.isct.ac.jp/plugins/cms/component_download_file.php?contentsDataId=&amp;contentsId=&amp;fileName=2024_record_master&amp;key=8d378f7061bc18ecfeb418efcbf2c515.pdf&amp;pageId=3284&amp;prevId=&amp;type=1</x:v>
      </x:c>
      <x:c r="Y252" s="27" t="str">
        <x:v>学院合計ではなく、当該「系」の行。</x:v>
      </x:c>
      <x:c r="Z252"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53" ht="38" customHeight="1">
      <x:c r="A253" s="2" t="str">
        <x:v>東京科学大学（旧・東京工業大学）</x:v>
      </x:c>
      <x:c r="B253" s="2" t="str">
        <x:v>情報理工学院</x:v>
      </x:c>
      <x:c r="C253" s="2" t="str">
        <x:v>数理・計算科学系</x:v>
      </x:c>
      <x:c r="D253" s="44" t="n">
        <x:v>2025</x:v>
      </x:c>
      <x:c r="E253" s="27" t="str">
        <x:v>2025年4月・2024年9月入学合計</x:v>
      </x:c>
      <x:c r="F253" s="27" t="str">
        <x:v>修士課程</x:v>
      </x:c>
      <x:c r="G253" s="27" t="str">
        <x:v>系別公表値（特別選考等の除外あり）</x:v>
      </x:c>
      <x:c r="H253" s="27" t="str">
        <x:v>专攻/系</x:v>
      </x:c>
      <x:c r="I253" s="44"/>
      <x:c r="J253" s="44" t="n">
        <x:v>100</x:v>
      </x:c>
      <x:c r="K253" s="44"/>
      <x:c r="L253" s="44" t="n">
        <x:v>53</x:v>
      </x:c>
      <x:c r="M253" s="44"/>
      <x:c r="N253" s="45" t="n">
        <x:f>IF(AND(J253&lt;&gt;"",L253&lt;&gt;0),J253/L253,"")</x:f>
        <x:v>1.8867924528301887</x:v>
      </x:c>
      <x:c r="O253" s="45" t="str">
        <x:f>IF(AND(K253&lt;&gt;"",L253&lt;&gt;0),K253/L253,"")</x:f>
      </x:c>
      <x:c r="P253" s="46" t="str">
        <x:f>IF(AND(K253&lt;&gt;"",K253&lt;&gt;0,L253&lt;&gt;""),L253/K253,"")</x:f>
      </x:c>
      <x:c r="Q253" s="46" t="str">
        <x:f>IF(AND(L253&lt;&gt;"",L253&lt;&gt;0,M253&lt;&gt;""),M253/L253,"")</x:f>
      </x:c>
      <x:c r="R253" s="45" t="n">
        <x:f>IF(N253&lt;&gt;"",N253,IF(O253&lt;&gt;"",O253,""))</x:f>
        <x:v>1.8867924528301887</x:v>
      </x:c>
      <x:c r="S253" s="2" t="str">
        <x:f>IF(N253&lt;&gt;"","志愿/合格",IF(O253&lt;&gt;"","受验/合格",""))</x:f>
        <x:v>志愿/合格</x:v>
      </x:c>
      <x:c r="T253" s="2" t="str">
        <x:v>官方</x:v>
      </x:c>
      <x:c r="U253" s="2" t="str">
        <x:v>高</x:v>
      </x:c>
      <x:c r="V253" s="27" t="str">
        <x:v>2025年4月入学及び2024年9月入学 東京科学大学大学院修士課程・専門職学位課程入学試験結果</x:v>
      </x:c>
      <x:c r="W253" s="27" t="str">
        <x:v>PDF p.1「系別」表／数理・計算科学系行</x:v>
      </x:c>
      <x:c r="X253" s="27" t="str">
        <x:v>https://admissions.isct.ac.jp/plugins/cms/component_download_file.php?contentsDataId=&amp;contentsId=&amp;fileName=2025_record_master&amp;key=ba0f61bd956e12e9d0a3006c2c3231b3.pdf&amp;pageId=3284&amp;prevId=&amp;type=1</x:v>
      </x:c>
      <x:c r="Y253" s="27" t="str">
        <x:v>学院合計ではなく、当該「系」の行。</x:v>
      </x:c>
      <x:c r="Z253"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54" ht="38" customHeight="1">
      <x:c r="A254" s="2" t="str">
        <x:v>東京科学大学（旧・東京工業大学）</x:v>
      </x:c>
      <x:c r="B254" s="2" t="str">
        <x:v>情報理工学院</x:v>
      </x:c>
      <x:c r="C254" s="2" t="str">
        <x:v>数理・計算科学系</x:v>
      </x:c>
      <x:c r="D254" s="44" t="n">
        <x:v>2026</x:v>
      </x:c>
      <x:c r="E254" s="27" t="str">
        <x:v>2026年4月・2025年9月入学合計</x:v>
      </x:c>
      <x:c r="F254" s="27" t="str">
        <x:v>修士課程</x:v>
      </x:c>
      <x:c r="G254" s="27" t="str">
        <x:v>系別公表値（特別選考等の除外あり）</x:v>
      </x:c>
      <x:c r="H254" s="27" t="str">
        <x:v>专攻/系</x:v>
      </x:c>
      <x:c r="I254" s="44"/>
      <x:c r="J254" s="44" t="n">
        <x:v>79</x:v>
      </x:c>
      <x:c r="K254" s="44"/>
      <x:c r="L254" s="44" t="n">
        <x:v>54</x:v>
      </x:c>
      <x:c r="M254" s="44"/>
      <x:c r="N254" s="45" t="n">
        <x:f>IF(AND(J254&lt;&gt;"",L254&lt;&gt;0),J254/L254,"")</x:f>
        <x:v>1.462962962962963</x:v>
      </x:c>
      <x:c r="O254" s="45" t="str">
        <x:f>IF(AND(K254&lt;&gt;"",L254&lt;&gt;0),K254/L254,"")</x:f>
      </x:c>
      <x:c r="P254" s="46" t="str">
        <x:f>IF(AND(K254&lt;&gt;"",K254&lt;&gt;0,L254&lt;&gt;""),L254/K254,"")</x:f>
      </x:c>
      <x:c r="Q254" s="46" t="str">
        <x:f>IF(AND(L254&lt;&gt;"",L254&lt;&gt;0,M254&lt;&gt;""),M254/L254,"")</x:f>
      </x:c>
      <x:c r="R254" s="45" t="n">
        <x:f>IF(N254&lt;&gt;"",N254,IF(O254&lt;&gt;"",O254,""))</x:f>
        <x:v>1.462962962962963</x:v>
      </x:c>
      <x:c r="S254" s="2" t="str">
        <x:f>IF(N254&lt;&gt;"","志愿/合格",IF(O254&lt;&gt;"","受验/合格",""))</x:f>
        <x:v>志愿/合格</x:v>
      </x:c>
      <x:c r="T254" s="2" t="str">
        <x:v>官方</x:v>
      </x:c>
      <x:c r="U254" s="2" t="str">
        <x:v>高</x:v>
      </x:c>
      <x:c r="V254" s="27" t="str">
        <x:v>2026年4月入学及び2025年9月入学 東京科学大学大学院修士課程・専門職学位課程入学試験結果</x:v>
      </x:c>
      <x:c r="W254" s="27" t="str">
        <x:v>PDF p.1「系別」表／数理・計算科学系行</x:v>
      </x:c>
      <x:c r="X254" s="27" t="str">
        <x:v>https://admissions.isct.ac.jp/plugins/cms/component_download_file.php?contentsDataId=&amp;contentsId=&amp;fileName=2026_record_master&amp;key=88014858637abe4c910ab16731dd187d.pdf&amp;pageId=3284&amp;prevId=&amp;type=1</x:v>
      </x:c>
      <x:c r="Y254" s="27" t="str">
        <x:v>学院合計ではなく、当該「系」の行。</x:v>
      </x:c>
      <x:c r="Z254"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55" ht="38" customHeight="1">
      <x:c r="A255" s="2" t="str">
        <x:v>東京科学大学（旧・東京工業大学）</x:v>
      </x:c>
      <x:c r="B255" s="2" t="str">
        <x:v>生命理工学院</x:v>
      </x:c>
      <x:c r="C255" s="2" t="str">
        <x:v>生命理工学系</x:v>
      </x:c>
      <x:c r="D255" s="44" t="n">
        <x:v>2022</x:v>
      </x:c>
      <x:c r="E255" s="27" t="str">
        <x:v>2022年4月・2021年9月入学合計</x:v>
      </x:c>
      <x:c r="F255" s="27" t="str">
        <x:v>修士課程</x:v>
      </x:c>
      <x:c r="G255" s="27" t="str">
        <x:v>系別公表値（特別選考等の除外あり）</x:v>
      </x:c>
      <x:c r="H255" s="27" t="str">
        <x:v>专攻/系</x:v>
      </x:c>
      <x:c r="I255" s="44"/>
      <x:c r="J255" s="44" t="n">
        <x:v>260</x:v>
      </x:c>
      <x:c r="K255" s="44"/>
      <x:c r="L255" s="44" t="n">
        <x:v>193</x:v>
      </x:c>
      <x:c r="M255" s="44"/>
      <x:c r="N255" s="45" t="n">
        <x:f>IF(AND(J255&lt;&gt;"",L255&lt;&gt;0),J255/L255,"")</x:f>
        <x:v>1.3471502590673574</x:v>
      </x:c>
      <x:c r="O255" s="45" t="str">
        <x:f>IF(AND(K255&lt;&gt;"",L255&lt;&gt;0),K255/L255,"")</x:f>
      </x:c>
      <x:c r="P255" s="46" t="str">
        <x:f>IF(AND(K255&lt;&gt;"",K255&lt;&gt;0,L255&lt;&gt;""),L255/K255,"")</x:f>
      </x:c>
      <x:c r="Q255" s="46" t="str">
        <x:f>IF(AND(L255&lt;&gt;"",L255&lt;&gt;0,M255&lt;&gt;""),M255/L255,"")</x:f>
      </x:c>
      <x:c r="R255" s="45" t="n">
        <x:f>IF(N255&lt;&gt;"",N255,IF(O255&lt;&gt;"",O255,""))</x:f>
        <x:v>1.3471502590673574</x:v>
      </x:c>
      <x:c r="S255" s="2" t="str">
        <x:f>IF(N255&lt;&gt;"","志愿/合格",IF(O255&lt;&gt;"","受验/合格",""))</x:f>
        <x:v>志愿/合格</x:v>
      </x:c>
      <x:c r="T255" s="2" t="str">
        <x:v>官方</x:v>
      </x:c>
      <x:c r="U255" s="2" t="str">
        <x:v>高</x:v>
      </x:c>
      <x:c r="V255" s="27" t="str">
        <x:v>2022年4月入学及び2021年9月入学 東京工業大学大学院修士課程・専門職学位課程入学試験結果</x:v>
      </x:c>
      <x:c r="W255" s="27" t="str">
        <x:v>PDF p.1「系別」表／生命理工学系行</x:v>
      </x:c>
      <x:c r="X255" s="27" t="str">
        <x:v>https://admissions.isct.ac.jp/plugins/cms/component_download_file.php?contentsDataId=&amp;contentsId=&amp;fileName=2022-record-master&amp;key=43bb683af1f294642c21703b15823643.pdf&amp;pageId=3284&amp;prevId=&amp;type=1</x:v>
      </x:c>
      <x:c r="Y255" s="27" t="str">
        <x:v>学院合計ではなく、当該「系」の行。</x:v>
      </x:c>
      <x:c r="Z255"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56" ht="38" customHeight="1">
      <x:c r="A256" s="2" t="str">
        <x:v>東京科学大学（旧・東京工業大学）</x:v>
      </x:c>
      <x:c r="B256" s="2" t="str">
        <x:v>生命理工学院</x:v>
      </x:c>
      <x:c r="C256" s="2" t="str">
        <x:v>生命理工学系</x:v>
      </x:c>
      <x:c r="D256" s="44" t="n">
        <x:v>2023</x:v>
      </x:c>
      <x:c r="E256" s="27" t="str">
        <x:v>2023年4月・2022年9月入学合計</x:v>
      </x:c>
      <x:c r="F256" s="27" t="str">
        <x:v>修士課程</x:v>
      </x:c>
      <x:c r="G256" s="27" t="str">
        <x:v>系別公表値（特別選考等の除外あり）</x:v>
      </x:c>
      <x:c r="H256" s="27" t="str">
        <x:v>专攻/系</x:v>
      </x:c>
      <x:c r="I256" s="44"/>
      <x:c r="J256" s="44" t="n">
        <x:v>242</x:v>
      </x:c>
      <x:c r="K256" s="44"/>
      <x:c r="L256" s="44" t="n">
        <x:v>185</x:v>
      </x:c>
      <x:c r="M256" s="44"/>
      <x:c r="N256" s="45" t="n">
        <x:f>IF(AND(J256&lt;&gt;"",L256&lt;&gt;0),J256/L256,"")</x:f>
        <x:v>1.308108108108108</x:v>
      </x:c>
      <x:c r="O256" s="45" t="str">
        <x:f>IF(AND(K256&lt;&gt;"",L256&lt;&gt;0),K256/L256,"")</x:f>
      </x:c>
      <x:c r="P256" s="46" t="str">
        <x:f>IF(AND(K256&lt;&gt;"",K256&lt;&gt;0,L256&lt;&gt;""),L256/K256,"")</x:f>
      </x:c>
      <x:c r="Q256" s="46" t="str">
        <x:f>IF(AND(L256&lt;&gt;"",L256&lt;&gt;0,M256&lt;&gt;""),M256/L256,"")</x:f>
      </x:c>
      <x:c r="R256" s="45" t="n">
        <x:f>IF(N256&lt;&gt;"",N256,IF(O256&lt;&gt;"",O256,""))</x:f>
        <x:v>1.308108108108108</x:v>
      </x:c>
      <x:c r="S256" s="2" t="str">
        <x:f>IF(N256&lt;&gt;"","志愿/合格",IF(O256&lt;&gt;"","受验/合格",""))</x:f>
        <x:v>志愿/合格</x:v>
      </x:c>
      <x:c r="T256" s="2" t="str">
        <x:v>官方</x:v>
      </x:c>
      <x:c r="U256" s="2" t="str">
        <x:v>高</x:v>
      </x:c>
      <x:c r="V256" s="27" t="str">
        <x:v>2023年4月入学及び2022年9月入学 東京工業大学大学院修士課程・専門職学位課程入学試験結果</x:v>
      </x:c>
      <x:c r="W256" s="27" t="str">
        <x:v>PDF p.1「系別」表／生命理工学系行</x:v>
      </x:c>
      <x:c r="X256" s="27" t="str">
        <x:v>https://admissions.isct.ac.jp/plugins/cms/component_download_file.php?contentsDataId=&amp;contentsId=&amp;fileName=2023-record-master&amp;key=c8b346e6ebcd7e97a3ed00de3bfcbb7b.pdf&amp;pageId=3284&amp;prevId=&amp;type=1</x:v>
      </x:c>
      <x:c r="Y256" s="27" t="str">
        <x:v>学院合計ではなく、当該「系」の行。</x:v>
      </x:c>
      <x:c r="Z256"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57" ht="38" customHeight="1">
      <x:c r="A257" s="2" t="str">
        <x:v>東京科学大学（旧・東京工業大学）</x:v>
      </x:c>
      <x:c r="B257" s="2" t="str">
        <x:v>生命理工学院</x:v>
      </x:c>
      <x:c r="C257" s="2" t="str">
        <x:v>生命理工学系</x:v>
      </x:c>
      <x:c r="D257" s="44" t="n">
        <x:v>2024</x:v>
      </x:c>
      <x:c r="E257" s="27" t="str">
        <x:v>2024年4月・2023年9月入学合計</x:v>
      </x:c>
      <x:c r="F257" s="27" t="str">
        <x:v>修士課程</x:v>
      </x:c>
      <x:c r="G257" s="27" t="str">
        <x:v>系別公表値（特別選考等の除外あり）</x:v>
      </x:c>
      <x:c r="H257" s="27" t="str">
        <x:v>专攻/系</x:v>
      </x:c>
      <x:c r="I257" s="44"/>
      <x:c r="J257" s="44" t="n">
        <x:v>248</x:v>
      </x:c>
      <x:c r="K257" s="44"/>
      <x:c r="L257" s="44" t="n">
        <x:v>194</x:v>
      </x:c>
      <x:c r="M257" s="44"/>
      <x:c r="N257" s="45" t="n">
        <x:f>IF(AND(J257&lt;&gt;"",L257&lt;&gt;0),J257/L257,"")</x:f>
        <x:v>1.2783505154639174</x:v>
      </x:c>
      <x:c r="O257" s="45" t="str">
        <x:f>IF(AND(K257&lt;&gt;"",L257&lt;&gt;0),K257/L257,"")</x:f>
      </x:c>
      <x:c r="P257" s="46" t="str">
        <x:f>IF(AND(K257&lt;&gt;"",K257&lt;&gt;0,L257&lt;&gt;""),L257/K257,"")</x:f>
      </x:c>
      <x:c r="Q257" s="46" t="str">
        <x:f>IF(AND(L257&lt;&gt;"",L257&lt;&gt;0,M257&lt;&gt;""),M257/L257,"")</x:f>
      </x:c>
      <x:c r="R257" s="45" t="n">
        <x:f>IF(N257&lt;&gt;"",N257,IF(O257&lt;&gt;"",O257,""))</x:f>
        <x:v>1.2783505154639174</x:v>
      </x:c>
      <x:c r="S257" s="2" t="str">
        <x:f>IF(N257&lt;&gt;"","志愿/合格",IF(O257&lt;&gt;"","受验/合格",""))</x:f>
        <x:v>志愿/合格</x:v>
      </x:c>
      <x:c r="T257" s="2" t="str">
        <x:v>官方</x:v>
      </x:c>
      <x:c r="U257" s="2" t="str">
        <x:v>高</x:v>
      </x:c>
      <x:c r="V257" s="27" t="str">
        <x:v>2024年4月入学及び2023年9月入学 東京工業大学大学院修士課程・専門職学位課程入学試験結果</x:v>
      </x:c>
      <x:c r="W257" s="27" t="str">
        <x:v>PDF p.1「系別」表／生命理工学系行</x:v>
      </x:c>
      <x:c r="X257" s="27" t="str">
        <x:v>https://admissions.isct.ac.jp/plugins/cms/component_download_file.php?contentsDataId=&amp;contentsId=&amp;fileName=2024_record_master&amp;key=8d378f7061bc18ecfeb418efcbf2c515.pdf&amp;pageId=3284&amp;prevId=&amp;type=1</x:v>
      </x:c>
      <x:c r="Y257" s="27" t="str">
        <x:v>学院合計ではなく、当該「系」の行。</x:v>
      </x:c>
      <x:c r="Z257"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58" ht="38" customHeight="1">
      <x:c r="A258" s="2" t="str">
        <x:v>東京科学大学（旧・東京工業大学）</x:v>
      </x:c>
      <x:c r="B258" s="2" t="str">
        <x:v>生命理工学院</x:v>
      </x:c>
      <x:c r="C258" s="2" t="str">
        <x:v>生命理工学系</x:v>
      </x:c>
      <x:c r="D258" s="44" t="n">
        <x:v>2025</x:v>
      </x:c>
      <x:c r="E258" s="27" t="str">
        <x:v>2025年4月・2024年9月入学合計</x:v>
      </x:c>
      <x:c r="F258" s="27" t="str">
        <x:v>修士課程</x:v>
      </x:c>
      <x:c r="G258" s="27" t="str">
        <x:v>系別公表値（特別選考等の除外あり）</x:v>
      </x:c>
      <x:c r="H258" s="27" t="str">
        <x:v>专攻/系</x:v>
      </x:c>
      <x:c r="I258" s="44"/>
      <x:c r="J258" s="44" t="n">
        <x:v>255</x:v>
      </x:c>
      <x:c r="K258" s="44"/>
      <x:c r="L258" s="44" t="n">
        <x:v>191</x:v>
      </x:c>
      <x:c r="M258" s="44"/>
      <x:c r="N258" s="45" t="n">
        <x:f>IF(AND(J258&lt;&gt;"",L258&lt;&gt;0),J258/L258,"")</x:f>
        <x:v>1.3350785340314135</x:v>
      </x:c>
      <x:c r="O258" s="45" t="str">
        <x:f>IF(AND(K258&lt;&gt;"",L258&lt;&gt;0),K258/L258,"")</x:f>
      </x:c>
      <x:c r="P258" s="46" t="str">
        <x:f>IF(AND(K258&lt;&gt;"",K258&lt;&gt;0,L258&lt;&gt;""),L258/K258,"")</x:f>
      </x:c>
      <x:c r="Q258" s="46" t="str">
        <x:f>IF(AND(L258&lt;&gt;"",L258&lt;&gt;0,M258&lt;&gt;""),M258/L258,"")</x:f>
      </x:c>
      <x:c r="R258" s="45" t="n">
        <x:f>IF(N258&lt;&gt;"",N258,IF(O258&lt;&gt;"",O258,""))</x:f>
        <x:v>1.3350785340314135</x:v>
      </x:c>
      <x:c r="S258" s="2" t="str">
        <x:f>IF(N258&lt;&gt;"","志愿/合格",IF(O258&lt;&gt;"","受验/合格",""))</x:f>
        <x:v>志愿/合格</x:v>
      </x:c>
      <x:c r="T258" s="2" t="str">
        <x:v>官方</x:v>
      </x:c>
      <x:c r="U258" s="2" t="str">
        <x:v>高</x:v>
      </x:c>
      <x:c r="V258" s="27" t="str">
        <x:v>2025年4月入学及び2024年9月入学 東京科学大学大学院修士課程・専門職学位課程入学試験結果</x:v>
      </x:c>
      <x:c r="W258" s="27" t="str">
        <x:v>PDF p.1「系別」表／生命理工学系行</x:v>
      </x:c>
      <x:c r="X258" s="27" t="str">
        <x:v>https://admissions.isct.ac.jp/plugins/cms/component_download_file.php?contentsDataId=&amp;contentsId=&amp;fileName=2025_record_master&amp;key=ba0f61bd956e12e9d0a3006c2c3231b3.pdf&amp;pageId=3284&amp;prevId=&amp;type=1</x:v>
      </x:c>
      <x:c r="Y258" s="27" t="str">
        <x:v>学院合計ではなく、当該「系」の行。</x:v>
      </x:c>
      <x:c r="Z258"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59" ht="38" customHeight="1">
      <x:c r="A259" s="2" t="str">
        <x:v>東京科学大学（旧・東京工業大学）</x:v>
      </x:c>
      <x:c r="B259" s="2" t="str">
        <x:v>生命理工学院</x:v>
      </x:c>
      <x:c r="C259" s="2" t="str">
        <x:v>生命理工学系</x:v>
      </x:c>
      <x:c r="D259" s="44" t="n">
        <x:v>2026</x:v>
      </x:c>
      <x:c r="E259" s="27" t="str">
        <x:v>2026年4月・2025年9月入学合計</x:v>
      </x:c>
      <x:c r="F259" s="27" t="str">
        <x:v>修士課程</x:v>
      </x:c>
      <x:c r="G259" s="27" t="str">
        <x:v>系別公表値（特別選考等の除外あり）</x:v>
      </x:c>
      <x:c r="H259" s="27" t="str">
        <x:v>专攻/系</x:v>
      </x:c>
      <x:c r="I259" s="44"/>
      <x:c r="J259" s="44" t="n">
        <x:v>304</x:v>
      </x:c>
      <x:c r="K259" s="44"/>
      <x:c r="L259" s="44" t="n">
        <x:v>203</x:v>
      </x:c>
      <x:c r="M259" s="44"/>
      <x:c r="N259" s="45" t="n">
        <x:f>IF(AND(J259&lt;&gt;"",L259&lt;&gt;0),J259/L259,"")</x:f>
        <x:v>1.4975369458128078</x:v>
      </x:c>
      <x:c r="O259" s="45" t="str">
        <x:f>IF(AND(K259&lt;&gt;"",L259&lt;&gt;0),K259/L259,"")</x:f>
      </x:c>
      <x:c r="P259" s="46" t="str">
        <x:f>IF(AND(K259&lt;&gt;"",K259&lt;&gt;0,L259&lt;&gt;""),L259/K259,"")</x:f>
      </x:c>
      <x:c r="Q259" s="46" t="str">
        <x:f>IF(AND(L259&lt;&gt;"",L259&lt;&gt;0,M259&lt;&gt;""),M259/L259,"")</x:f>
      </x:c>
      <x:c r="R259" s="45" t="n">
        <x:f>IF(N259&lt;&gt;"",N259,IF(O259&lt;&gt;"",O259,""))</x:f>
        <x:v>1.4975369458128078</x:v>
      </x:c>
      <x:c r="S259" s="2" t="str">
        <x:f>IF(N259&lt;&gt;"","志愿/合格",IF(O259&lt;&gt;"","受验/合格",""))</x:f>
        <x:v>志愿/合格</x:v>
      </x:c>
      <x:c r="T259" s="2" t="str">
        <x:v>官方</x:v>
      </x:c>
      <x:c r="U259" s="2" t="str">
        <x:v>高</x:v>
      </x:c>
      <x:c r="V259" s="27" t="str">
        <x:v>2026年4月入学及び2025年9月入学 東京科学大学大学院修士課程・専門職学位課程入学試験結果</x:v>
      </x:c>
      <x:c r="W259" s="27" t="str">
        <x:v>PDF p.1「系別」表／生命理工学系行</x:v>
      </x:c>
      <x:c r="X259" s="27" t="str">
        <x:v>https://admissions.isct.ac.jp/plugins/cms/component_download_file.php?contentsDataId=&amp;contentsId=&amp;fileName=2026_record_master&amp;key=88014858637abe4c910ab16731dd187d.pdf&amp;pageId=3284&amp;prevId=&amp;type=1</x:v>
      </x:c>
      <x:c r="Y259" s="27" t="str">
        <x:v>学院合計ではなく、当該「系」の行。</x:v>
      </x:c>
      <x:c r="Z259"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60" ht="38" customHeight="1">
      <x:c r="A260" s="2" t="str">
        <x:v>東京科学大学（旧・東京工業大学）</x:v>
      </x:c>
      <x:c r="B260" s="2" t="str">
        <x:v>物質理工学院</x:v>
      </x:c>
      <x:c r="C260" s="2" t="str">
        <x:v>材料系</x:v>
      </x:c>
      <x:c r="D260" s="44" t="n">
        <x:v>2022</x:v>
      </x:c>
      <x:c r="E260" s="27" t="str">
        <x:v>2022年4月・2021年9月入学合計</x:v>
      </x:c>
      <x:c r="F260" s="27" t="str">
        <x:v>修士課程</x:v>
      </x:c>
      <x:c r="G260" s="27" t="str">
        <x:v>系別公表値（特別選考等の除外あり）</x:v>
      </x:c>
      <x:c r="H260" s="27" t="str">
        <x:v>专攻/系</x:v>
      </x:c>
      <x:c r="I260" s="44"/>
      <x:c r="J260" s="44" t="n">
        <x:v>220</x:v>
      </x:c>
      <x:c r="K260" s="44"/>
      <x:c r="L260" s="44" t="n">
        <x:v>202</x:v>
      </x:c>
      <x:c r="M260" s="44"/>
      <x:c r="N260" s="45" t="n">
        <x:f>IF(AND(J260&lt;&gt;"",L260&lt;&gt;0),J260/L260,"")</x:f>
        <x:v>1.0891089108910892</x:v>
      </x:c>
      <x:c r="O260" s="45" t="str">
        <x:f>IF(AND(K260&lt;&gt;"",L260&lt;&gt;0),K260/L260,"")</x:f>
      </x:c>
      <x:c r="P260" s="46" t="str">
        <x:f>IF(AND(K260&lt;&gt;"",K260&lt;&gt;0,L260&lt;&gt;""),L260/K260,"")</x:f>
      </x:c>
      <x:c r="Q260" s="46" t="str">
        <x:f>IF(AND(L260&lt;&gt;"",L260&lt;&gt;0,M260&lt;&gt;""),M260/L260,"")</x:f>
      </x:c>
      <x:c r="R260" s="45" t="n">
        <x:f>IF(N260&lt;&gt;"",N260,IF(O260&lt;&gt;"",O260,""))</x:f>
        <x:v>1.0891089108910892</x:v>
      </x:c>
      <x:c r="S260" s="2" t="str">
        <x:f>IF(N260&lt;&gt;"","志愿/合格",IF(O260&lt;&gt;"","受验/合格",""))</x:f>
        <x:v>志愿/合格</x:v>
      </x:c>
      <x:c r="T260" s="2" t="str">
        <x:v>官方</x:v>
      </x:c>
      <x:c r="U260" s="2" t="str">
        <x:v>高</x:v>
      </x:c>
      <x:c r="V260" s="27" t="str">
        <x:v>2022年4月入学及び2021年9月入学 東京工業大学大学院修士課程・専門職学位課程入学試験結果</x:v>
      </x:c>
      <x:c r="W260" s="27" t="str">
        <x:v>PDF p.1「系別」表／材料系行</x:v>
      </x:c>
      <x:c r="X260" s="27" t="str">
        <x:v>https://admissions.isct.ac.jp/plugins/cms/component_download_file.php?contentsDataId=&amp;contentsId=&amp;fileName=2022-record-master&amp;key=43bb683af1f294642c21703b15823643.pdf&amp;pageId=3284&amp;prevId=&amp;type=1</x:v>
      </x:c>
      <x:c r="Y260" s="27" t="str">
        <x:v>学院合計ではなく、当該「系」の行。</x:v>
      </x:c>
      <x:c r="Z260"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61" ht="38" customHeight="1">
      <x:c r="A261" s="2" t="str">
        <x:v>東京科学大学（旧・東京工業大学）</x:v>
      </x:c>
      <x:c r="B261" s="2" t="str">
        <x:v>物質理工学院</x:v>
      </x:c>
      <x:c r="C261" s="2" t="str">
        <x:v>材料系</x:v>
      </x:c>
      <x:c r="D261" s="44" t="n">
        <x:v>2023</x:v>
      </x:c>
      <x:c r="E261" s="27" t="str">
        <x:v>2023年4月・2022年9月入学合計</x:v>
      </x:c>
      <x:c r="F261" s="27" t="str">
        <x:v>修士課程</x:v>
      </x:c>
      <x:c r="G261" s="27" t="str">
        <x:v>系別公表値（特別選考等の除外あり）</x:v>
      </x:c>
      <x:c r="H261" s="27" t="str">
        <x:v>专攻/系</x:v>
      </x:c>
      <x:c r="I261" s="44"/>
      <x:c r="J261" s="44" t="n">
        <x:v>274</x:v>
      </x:c>
      <x:c r="K261" s="44"/>
      <x:c r="L261" s="44" t="n">
        <x:v>203</x:v>
      </x:c>
      <x:c r="M261" s="44"/>
      <x:c r="N261" s="45" t="n">
        <x:f>IF(AND(J261&lt;&gt;"",L261&lt;&gt;0),J261/L261,"")</x:f>
        <x:v>1.3497536945812807</x:v>
      </x:c>
      <x:c r="O261" s="45" t="str">
        <x:f>IF(AND(K261&lt;&gt;"",L261&lt;&gt;0),K261/L261,"")</x:f>
      </x:c>
      <x:c r="P261" s="46" t="str">
        <x:f>IF(AND(K261&lt;&gt;"",K261&lt;&gt;0,L261&lt;&gt;""),L261/K261,"")</x:f>
      </x:c>
      <x:c r="Q261" s="46" t="str">
        <x:f>IF(AND(L261&lt;&gt;"",L261&lt;&gt;0,M261&lt;&gt;""),M261/L261,"")</x:f>
      </x:c>
      <x:c r="R261" s="45" t="n">
        <x:f>IF(N261&lt;&gt;"",N261,IF(O261&lt;&gt;"",O261,""))</x:f>
        <x:v>1.3497536945812807</x:v>
      </x:c>
      <x:c r="S261" s="2" t="str">
        <x:f>IF(N261&lt;&gt;"","志愿/合格",IF(O261&lt;&gt;"","受验/合格",""))</x:f>
        <x:v>志愿/合格</x:v>
      </x:c>
      <x:c r="T261" s="2" t="str">
        <x:v>官方</x:v>
      </x:c>
      <x:c r="U261" s="2" t="str">
        <x:v>高</x:v>
      </x:c>
      <x:c r="V261" s="27" t="str">
        <x:v>2023年4月入学及び2022年9月入学 東京工業大学大学院修士課程・専門職学位課程入学試験結果</x:v>
      </x:c>
      <x:c r="W261" s="27" t="str">
        <x:v>PDF p.1「系別」表／材料系行</x:v>
      </x:c>
      <x:c r="X261" s="27" t="str">
        <x:v>https://admissions.isct.ac.jp/plugins/cms/component_download_file.php?contentsDataId=&amp;contentsId=&amp;fileName=2023-record-master&amp;key=c8b346e6ebcd7e97a3ed00de3bfcbb7b.pdf&amp;pageId=3284&amp;prevId=&amp;type=1</x:v>
      </x:c>
      <x:c r="Y261" s="27" t="str">
        <x:v>学院合計ではなく、当該「系」の行。</x:v>
      </x:c>
      <x:c r="Z261"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62" ht="38" customHeight="1">
      <x:c r="A262" s="2" t="str">
        <x:v>東京科学大学（旧・東京工業大学）</x:v>
      </x:c>
      <x:c r="B262" s="2" t="str">
        <x:v>物質理工学院</x:v>
      </x:c>
      <x:c r="C262" s="2" t="str">
        <x:v>材料系</x:v>
      </x:c>
      <x:c r="D262" s="44" t="n">
        <x:v>2024</x:v>
      </x:c>
      <x:c r="E262" s="27" t="str">
        <x:v>2024年4月・2023年9月入学合計</x:v>
      </x:c>
      <x:c r="F262" s="27" t="str">
        <x:v>修士課程</x:v>
      </x:c>
      <x:c r="G262" s="27" t="str">
        <x:v>系別公表値（特別選考等の除外あり）</x:v>
      </x:c>
      <x:c r="H262" s="27" t="str">
        <x:v>专攻/系</x:v>
      </x:c>
      <x:c r="I262" s="44"/>
      <x:c r="J262" s="44" t="n">
        <x:v>266</x:v>
      </x:c>
      <x:c r="K262" s="44"/>
      <x:c r="L262" s="44" t="n">
        <x:v>205</x:v>
      </x:c>
      <x:c r="M262" s="44"/>
      <x:c r="N262" s="45" t="n">
        <x:f>IF(AND(J262&lt;&gt;"",L262&lt;&gt;0),J262/L262,"")</x:f>
        <x:v>1.2975609756097561</x:v>
      </x:c>
      <x:c r="O262" s="45" t="str">
        <x:f>IF(AND(K262&lt;&gt;"",L262&lt;&gt;0),K262/L262,"")</x:f>
      </x:c>
      <x:c r="P262" s="46" t="str">
        <x:f>IF(AND(K262&lt;&gt;"",K262&lt;&gt;0,L262&lt;&gt;""),L262/K262,"")</x:f>
      </x:c>
      <x:c r="Q262" s="46" t="str">
        <x:f>IF(AND(L262&lt;&gt;"",L262&lt;&gt;0,M262&lt;&gt;""),M262/L262,"")</x:f>
      </x:c>
      <x:c r="R262" s="45" t="n">
        <x:f>IF(N262&lt;&gt;"",N262,IF(O262&lt;&gt;"",O262,""))</x:f>
        <x:v>1.2975609756097561</x:v>
      </x:c>
      <x:c r="S262" s="2" t="str">
        <x:f>IF(N262&lt;&gt;"","志愿/合格",IF(O262&lt;&gt;"","受验/合格",""))</x:f>
        <x:v>志愿/合格</x:v>
      </x:c>
      <x:c r="T262" s="2" t="str">
        <x:v>官方</x:v>
      </x:c>
      <x:c r="U262" s="2" t="str">
        <x:v>高</x:v>
      </x:c>
      <x:c r="V262" s="27" t="str">
        <x:v>2024年4月入学及び2023年9月入学 東京工業大学大学院修士課程・専門職学位課程入学試験結果</x:v>
      </x:c>
      <x:c r="W262" s="27" t="str">
        <x:v>PDF p.1「系別」表／材料系行</x:v>
      </x:c>
      <x:c r="X262" s="27" t="str">
        <x:v>https://admissions.isct.ac.jp/plugins/cms/component_download_file.php?contentsDataId=&amp;contentsId=&amp;fileName=2024_record_master&amp;key=8d378f7061bc18ecfeb418efcbf2c515.pdf&amp;pageId=3284&amp;prevId=&amp;type=1</x:v>
      </x:c>
      <x:c r="Y262" s="27" t="str">
        <x:v>学院合計ではなく、当該「系」の行。</x:v>
      </x:c>
      <x:c r="Z262"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63" ht="38" customHeight="1">
      <x:c r="A263" s="2" t="str">
        <x:v>東京科学大学（旧・東京工業大学）</x:v>
      </x:c>
      <x:c r="B263" s="2" t="str">
        <x:v>物質理工学院</x:v>
      </x:c>
      <x:c r="C263" s="2" t="str">
        <x:v>材料系</x:v>
      </x:c>
      <x:c r="D263" s="44" t="n">
        <x:v>2025</x:v>
      </x:c>
      <x:c r="E263" s="27" t="str">
        <x:v>2025年4月・2024年9月入学合計</x:v>
      </x:c>
      <x:c r="F263" s="27" t="str">
        <x:v>修士課程</x:v>
      </x:c>
      <x:c r="G263" s="27" t="str">
        <x:v>系別公表値（特別選考等の除外あり）</x:v>
      </x:c>
      <x:c r="H263" s="27" t="str">
        <x:v>专攻/系</x:v>
      </x:c>
      <x:c r="I263" s="44"/>
      <x:c r="J263" s="44" t="n">
        <x:v>249</x:v>
      </x:c>
      <x:c r="K263" s="44"/>
      <x:c r="L263" s="44" t="n">
        <x:v>208</x:v>
      </x:c>
      <x:c r="M263" s="44"/>
      <x:c r="N263" s="45" t="n">
        <x:f>IF(AND(J263&lt;&gt;"",L263&lt;&gt;0),J263/L263,"")</x:f>
        <x:v>1.1971153846153846</x:v>
      </x:c>
      <x:c r="O263" s="45" t="str">
        <x:f>IF(AND(K263&lt;&gt;"",L263&lt;&gt;0),K263/L263,"")</x:f>
      </x:c>
      <x:c r="P263" s="46" t="str">
        <x:f>IF(AND(K263&lt;&gt;"",K263&lt;&gt;0,L263&lt;&gt;""),L263/K263,"")</x:f>
      </x:c>
      <x:c r="Q263" s="46" t="str">
        <x:f>IF(AND(L263&lt;&gt;"",L263&lt;&gt;0,M263&lt;&gt;""),M263/L263,"")</x:f>
      </x:c>
      <x:c r="R263" s="45" t="n">
        <x:f>IF(N263&lt;&gt;"",N263,IF(O263&lt;&gt;"",O263,""))</x:f>
        <x:v>1.1971153846153846</x:v>
      </x:c>
      <x:c r="S263" s="2" t="str">
        <x:f>IF(N263&lt;&gt;"","志愿/合格",IF(O263&lt;&gt;"","受验/合格",""))</x:f>
        <x:v>志愿/合格</x:v>
      </x:c>
      <x:c r="T263" s="2" t="str">
        <x:v>官方</x:v>
      </x:c>
      <x:c r="U263" s="2" t="str">
        <x:v>高</x:v>
      </x:c>
      <x:c r="V263" s="27" t="str">
        <x:v>2025年4月入学及び2024年9月入学 東京科学大学大学院修士課程・専門職学位課程入学試験結果</x:v>
      </x:c>
      <x:c r="W263" s="27" t="str">
        <x:v>PDF p.1「系別」表／材料系行</x:v>
      </x:c>
      <x:c r="X263" s="27" t="str">
        <x:v>https://admissions.isct.ac.jp/plugins/cms/component_download_file.php?contentsDataId=&amp;contentsId=&amp;fileName=2025_record_master&amp;key=ba0f61bd956e12e9d0a3006c2c3231b3.pdf&amp;pageId=3284&amp;prevId=&amp;type=1</x:v>
      </x:c>
      <x:c r="Y263" s="27" t="str">
        <x:v>学院合計ではなく、当該「系」の行。</x:v>
      </x:c>
      <x:c r="Z263"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64" ht="38" customHeight="1">
      <x:c r="A264" s="2" t="str">
        <x:v>東京科学大学（旧・東京工業大学）</x:v>
      </x:c>
      <x:c r="B264" s="2" t="str">
        <x:v>物質理工学院</x:v>
      </x:c>
      <x:c r="C264" s="2" t="str">
        <x:v>材料系</x:v>
      </x:c>
      <x:c r="D264" s="44" t="n">
        <x:v>2026</x:v>
      </x:c>
      <x:c r="E264" s="27" t="str">
        <x:v>2026年4月・2025年9月入学合計</x:v>
      </x:c>
      <x:c r="F264" s="27" t="str">
        <x:v>修士課程</x:v>
      </x:c>
      <x:c r="G264" s="27" t="str">
        <x:v>系別公表値（特別選考等の除外あり）</x:v>
      </x:c>
      <x:c r="H264" s="27" t="str">
        <x:v>专攻/系</x:v>
      </x:c>
      <x:c r="I264" s="44"/>
      <x:c r="J264" s="44" t="n">
        <x:v>241</x:v>
      </x:c>
      <x:c r="K264" s="44"/>
      <x:c r="L264" s="44" t="n">
        <x:v>211</x:v>
      </x:c>
      <x:c r="M264" s="44"/>
      <x:c r="N264" s="45" t="n">
        <x:f>IF(AND(J264&lt;&gt;"",L264&lt;&gt;0),J264/L264,"")</x:f>
        <x:v>1.1421800947867298</x:v>
      </x:c>
      <x:c r="O264" s="45" t="str">
        <x:f>IF(AND(K264&lt;&gt;"",L264&lt;&gt;0),K264/L264,"")</x:f>
      </x:c>
      <x:c r="P264" s="46" t="str">
        <x:f>IF(AND(K264&lt;&gt;"",K264&lt;&gt;0,L264&lt;&gt;""),L264/K264,"")</x:f>
      </x:c>
      <x:c r="Q264" s="46" t="str">
        <x:f>IF(AND(L264&lt;&gt;"",L264&lt;&gt;0,M264&lt;&gt;""),M264/L264,"")</x:f>
      </x:c>
      <x:c r="R264" s="45" t="n">
        <x:f>IF(N264&lt;&gt;"",N264,IF(O264&lt;&gt;"",O264,""))</x:f>
        <x:v>1.1421800947867298</x:v>
      </x:c>
      <x:c r="S264" s="2" t="str">
        <x:f>IF(N264&lt;&gt;"","志愿/合格",IF(O264&lt;&gt;"","受验/合格",""))</x:f>
        <x:v>志愿/合格</x:v>
      </x:c>
      <x:c r="T264" s="2" t="str">
        <x:v>官方</x:v>
      </x:c>
      <x:c r="U264" s="2" t="str">
        <x:v>高</x:v>
      </x:c>
      <x:c r="V264" s="27" t="str">
        <x:v>2026年4月入学及び2025年9月入学 東京科学大学大学院修士課程・専門職学位課程入学試験結果</x:v>
      </x:c>
      <x:c r="W264" s="27" t="str">
        <x:v>PDF p.1「系別」表／材料系行</x:v>
      </x:c>
      <x:c r="X264" s="27" t="str">
        <x:v>https://admissions.isct.ac.jp/plugins/cms/component_download_file.php?contentsDataId=&amp;contentsId=&amp;fileName=2026_record_master&amp;key=88014858637abe4c910ab16731dd187d.pdf&amp;pageId=3284&amp;prevId=&amp;type=1</x:v>
      </x:c>
      <x:c r="Y264" s="27" t="str">
        <x:v>学院合計ではなく、当該「系」の行。</x:v>
      </x:c>
      <x:c r="Z264"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65" ht="38" customHeight="1">
      <x:c r="A265" s="2" t="str">
        <x:v>東京科学大学（旧・東京工業大学）</x:v>
      </x:c>
      <x:c r="B265" s="2" t="str">
        <x:v>理学院</x:v>
      </x:c>
      <x:c r="C265" s="2" t="str">
        <x:v>数学系</x:v>
      </x:c>
      <x:c r="D265" s="44" t="n">
        <x:v>2022</x:v>
      </x:c>
      <x:c r="E265" s="27" t="str">
        <x:v>2022年4月・2021年9月入学合計</x:v>
      </x:c>
      <x:c r="F265" s="27" t="str">
        <x:v>修士課程</x:v>
      </x:c>
      <x:c r="G265" s="27" t="str">
        <x:v>系別公表値（特別選考等の除外あり）</x:v>
      </x:c>
      <x:c r="H265" s="27" t="str">
        <x:v>专攻/系</x:v>
      </x:c>
      <x:c r="I265" s="44"/>
      <x:c r="J265" s="44" t="n">
        <x:v>60</x:v>
      </x:c>
      <x:c r="K265" s="44"/>
      <x:c r="L265" s="44" t="n">
        <x:v>33</x:v>
      </x:c>
      <x:c r="M265" s="44"/>
      <x:c r="N265" s="45" t="n">
        <x:f>IF(AND(J265&lt;&gt;"",L265&lt;&gt;0),J265/L265,"")</x:f>
        <x:v>1.8181818181818181</x:v>
      </x:c>
      <x:c r="O265" s="45" t="str">
        <x:f>IF(AND(K265&lt;&gt;"",L265&lt;&gt;0),K265/L265,"")</x:f>
      </x:c>
      <x:c r="P265" s="46" t="str">
        <x:f>IF(AND(K265&lt;&gt;"",K265&lt;&gt;0,L265&lt;&gt;""),L265/K265,"")</x:f>
      </x:c>
      <x:c r="Q265" s="46" t="str">
        <x:f>IF(AND(L265&lt;&gt;"",L265&lt;&gt;0,M265&lt;&gt;""),M265/L265,"")</x:f>
      </x:c>
      <x:c r="R265" s="45" t="n">
        <x:f>IF(N265&lt;&gt;"",N265,IF(O265&lt;&gt;"",O265,""))</x:f>
        <x:v>1.8181818181818181</x:v>
      </x:c>
      <x:c r="S265" s="2" t="str">
        <x:f>IF(N265&lt;&gt;"","志愿/合格",IF(O265&lt;&gt;"","受验/合格",""))</x:f>
        <x:v>志愿/合格</x:v>
      </x:c>
      <x:c r="T265" s="2" t="str">
        <x:v>官方</x:v>
      </x:c>
      <x:c r="U265" s="2" t="str">
        <x:v>高</x:v>
      </x:c>
      <x:c r="V265" s="27" t="str">
        <x:v>2022年4月入学及び2021年9月入学 東京工業大学大学院修士課程・専門職学位課程入学試験結果</x:v>
      </x:c>
      <x:c r="W265" s="27" t="str">
        <x:v>PDF p.1「系別」表／数学系行</x:v>
      </x:c>
      <x:c r="X265" s="27" t="str">
        <x:v>https://admissions.isct.ac.jp/plugins/cms/component_download_file.php?contentsDataId=&amp;contentsId=&amp;fileName=2022-record-master&amp;key=43bb683af1f294642c21703b15823643.pdf&amp;pageId=3284&amp;prevId=&amp;type=1</x:v>
      </x:c>
      <x:c r="Y265" s="27" t="str">
        <x:v>学院合計ではなく、当該「系」の行。</x:v>
      </x:c>
      <x:c r="Z265"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66" ht="38" customHeight="1">
      <x:c r="A266" s="2" t="str">
        <x:v>東京科学大学（旧・東京工業大学）</x:v>
      </x:c>
      <x:c r="B266" s="2" t="str">
        <x:v>理学院</x:v>
      </x:c>
      <x:c r="C266" s="2" t="str">
        <x:v>数学系</x:v>
      </x:c>
      <x:c r="D266" s="44" t="n">
        <x:v>2023</x:v>
      </x:c>
      <x:c r="E266" s="27" t="str">
        <x:v>2023年4月・2022年9月入学合計</x:v>
      </x:c>
      <x:c r="F266" s="27" t="str">
        <x:v>修士課程</x:v>
      </x:c>
      <x:c r="G266" s="27" t="str">
        <x:v>系別公表値（特別選考等の除外あり）</x:v>
      </x:c>
      <x:c r="H266" s="27" t="str">
        <x:v>专攻/系</x:v>
      </x:c>
      <x:c r="I266" s="44"/>
      <x:c r="J266" s="44" t="n">
        <x:v>78</x:v>
      </x:c>
      <x:c r="K266" s="44"/>
      <x:c r="L266" s="44" t="n">
        <x:v>36</x:v>
      </x:c>
      <x:c r="M266" s="44"/>
      <x:c r="N266" s="45" t="n">
        <x:f>IF(AND(J266&lt;&gt;"",L266&lt;&gt;0),J266/L266,"")</x:f>
        <x:v>2.1666666666666665</x:v>
      </x:c>
      <x:c r="O266" s="45" t="str">
        <x:f>IF(AND(K266&lt;&gt;"",L266&lt;&gt;0),K266/L266,"")</x:f>
      </x:c>
      <x:c r="P266" s="46" t="str">
        <x:f>IF(AND(K266&lt;&gt;"",K266&lt;&gt;0,L266&lt;&gt;""),L266/K266,"")</x:f>
      </x:c>
      <x:c r="Q266" s="46" t="str">
        <x:f>IF(AND(L266&lt;&gt;"",L266&lt;&gt;0,M266&lt;&gt;""),M266/L266,"")</x:f>
      </x:c>
      <x:c r="R266" s="45" t="n">
        <x:f>IF(N266&lt;&gt;"",N266,IF(O266&lt;&gt;"",O266,""))</x:f>
        <x:v>2.1666666666666665</x:v>
      </x:c>
      <x:c r="S266" s="2" t="str">
        <x:f>IF(N266&lt;&gt;"","志愿/合格",IF(O266&lt;&gt;"","受验/合格",""))</x:f>
        <x:v>志愿/合格</x:v>
      </x:c>
      <x:c r="T266" s="2" t="str">
        <x:v>官方</x:v>
      </x:c>
      <x:c r="U266" s="2" t="str">
        <x:v>高</x:v>
      </x:c>
      <x:c r="V266" s="27" t="str">
        <x:v>2023年4月入学及び2022年9月入学 東京工業大学大学院修士課程・専門職学位課程入学試験結果</x:v>
      </x:c>
      <x:c r="W266" s="27" t="str">
        <x:v>PDF p.1「系別」表／数学系行</x:v>
      </x:c>
      <x:c r="X266" s="27" t="str">
        <x:v>https://admissions.isct.ac.jp/plugins/cms/component_download_file.php?contentsDataId=&amp;contentsId=&amp;fileName=2023-record-master&amp;key=c8b346e6ebcd7e97a3ed00de3bfcbb7b.pdf&amp;pageId=3284&amp;prevId=&amp;type=1</x:v>
      </x:c>
      <x:c r="Y266" s="27" t="str">
        <x:v>学院合計ではなく、当該「系」の行。</x:v>
      </x:c>
      <x:c r="Z266"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67" ht="38" customHeight="1">
      <x:c r="A267" s="2" t="str">
        <x:v>東京科学大学（旧・東京工業大学）</x:v>
      </x:c>
      <x:c r="B267" s="2" t="str">
        <x:v>理学院</x:v>
      </x:c>
      <x:c r="C267" s="2" t="str">
        <x:v>数学系</x:v>
      </x:c>
      <x:c r="D267" s="44" t="n">
        <x:v>2024</x:v>
      </x:c>
      <x:c r="E267" s="27" t="str">
        <x:v>2024年4月・2023年9月入学合計</x:v>
      </x:c>
      <x:c r="F267" s="27" t="str">
        <x:v>修士課程</x:v>
      </x:c>
      <x:c r="G267" s="27" t="str">
        <x:v>系別公表値（特別選考等の除外あり）</x:v>
      </x:c>
      <x:c r="H267" s="27" t="str">
        <x:v>专攻/系</x:v>
      </x:c>
      <x:c r="I267" s="44"/>
      <x:c r="J267" s="44" t="n">
        <x:v>61</x:v>
      </x:c>
      <x:c r="K267" s="44"/>
      <x:c r="L267" s="44" t="n">
        <x:v>36</x:v>
      </x:c>
      <x:c r="M267" s="44"/>
      <x:c r="N267" s="45" t="n">
        <x:f>IF(AND(J267&lt;&gt;"",L267&lt;&gt;0),J267/L267,"")</x:f>
        <x:v>1.6944444444444444</x:v>
      </x:c>
      <x:c r="O267" s="45" t="str">
        <x:f>IF(AND(K267&lt;&gt;"",L267&lt;&gt;0),K267/L267,"")</x:f>
      </x:c>
      <x:c r="P267" s="46" t="str">
        <x:f>IF(AND(K267&lt;&gt;"",K267&lt;&gt;0,L267&lt;&gt;""),L267/K267,"")</x:f>
      </x:c>
      <x:c r="Q267" s="46" t="str">
        <x:f>IF(AND(L267&lt;&gt;"",L267&lt;&gt;0,M267&lt;&gt;""),M267/L267,"")</x:f>
      </x:c>
      <x:c r="R267" s="45" t="n">
        <x:f>IF(N267&lt;&gt;"",N267,IF(O267&lt;&gt;"",O267,""))</x:f>
        <x:v>1.6944444444444444</x:v>
      </x:c>
      <x:c r="S267" s="2" t="str">
        <x:f>IF(N267&lt;&gt;"","志愿/合格",IF(O267&lt;&gt;"","受验/合格",""))</x:f>
        <x:v>志愿/合格</x:v>
      </x:c>
      <x:c r="T267" s="2" t="str">
        <x:v>官方</x:v>
      </x:c>
      <x:c r="U267" s="2" t="str">
        <x:v>高</x:v>
      </x:c>
      <x:c r="V267" s="27" t="str">
        <x:v>2024年4月入学及び2023年9月入学 東京工業大学大学院修士課程・専門職学位課程入学試験結果</x:v>
      </x:c>
      <x:c r="W267" s="27" t="str">
        <x:v>PDF p.1「系別」表／数学系行</x:v>
      </x:c>
      <x:c r="X267" s="27" t="str">
        <x:v>https://admissions.isct.ac.jp/plugins/cms/component_download_file.php?contentsDataId=&amp;contentsId=&amp;fileName=2024_record_master&amp;key=8d378f7061bc18ecfeb418efcbf2c515.pdf&amp;pageId=3284&amp;prevId=&amp;type=1</x:v>
      </x:c>
      <x:c r="Y267" s="27" t="str">
        <x:v>学院合計ではなく、当該「系」の行。</x:v>
      </x:c>
      <x:c r="Z267"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68" ht="38" customHeight="1">
      <x:c r="A268" s="2" t="str">
        <x:v>東京科学大学（旧・東京工業大学）</x:v>
      </x:c>
      <x:c r="B268" s="2" t="str">
        <x:v>理学院</x:v>
      </x:c>
      <x:c r="C268" s="2" t="str">
        <x:v>数学系</x:v>
      </x:c>
      <x:c r="D268" s="44" t="n">
        <x:v>2025</x:v>
      </x:c>
      <x:c r="E268" s="27" t="str">
        <x:v>2025年4月・2024年9月入学合計</x:v>
      </x:c>
      <x:c r="F268" s="27" t="str">
        <x:v>修士課程</x:v>
      </x:c>
      <x:c r="G268" s="27" t="str">
        <x:v>系別公表値（特別選考等の除外あり）</x:v>
      </x:c>
      <x:c r="H268" s="27" t="str">
        <x:v>专攻/系</x:v>
      </x:c>
      <x:c r="I268" s="44"/>
      <x:c r="J268" s="44" t="n">
        <x:v>99</x:v>
      </x:c>
      <x:c r="K268" s="44"/>
      <x:c r="L268" s="44" t="n">
        <x:v>39</x:v>
      </x:c>
      <x:c r="M268" s="44"/>
      <x:c r="N268" s="45" t="n">
        <x:f>IF(AND(J268&lt;&gt;"",L268&lt;&gt;0),J268/L268,"")</x:f>
        <x:v>2.5384615384615383</x:v>
      </x:c>
      <x:c r="O268" s="45" t="str">
        <x:f>IF(AND(K268&lt;&gt;"",L268&lt;&gt;0),K268/L268,"")</x:f>
      </x:c>
      <x:c r="P268" s="46" t="str">
        <x:f>IF(AND(K268&lt;&gt;"",K268&lt;&gt;0,L268&lt;&gt;""),L268/K268,"")</x:f>
      </x:c>
      <x:c r="Q268" s="46" t="str">
        <x:f>IF(AND(L268&lt;&gt;"",L268&lt;&gt;0,M268&lt;&gt;""),M268/L268,"")</x:f>
      </x:c>
      <x:c r="R268" s="45" t="n">
        <x:f>IF(N268&lt;&gt;"",N268,IF(O268&lt;&gt;"",O268,""))</x:f>
        <x:v>2.5384615384615383</x:v>
      </x:c>
      <x:c r="S268" s="2" t="str">
        <x:f>IF(N268&lt;&gt;"","志愿/合格",IF(O268&lt;&gt;"","受验/合格",""))</x:f>
        <x:v>志愿/合格</x:v>
      </x:c>
      <x:c r="T268" s="2" t="str">
        <x:v>官方</x:v>
      </x:c>
      <x:c r="U268" s="2" t="str">
        <x:v>高</x:v>
      </x:c>
      <x:c r="V268" s="27" t="str">
        <x:v>2025年4月入学及び2024年9月入学 東京科学大学大学院修士課程・専門職学位課程入学試験結果</x:v>
      </x:c>
      <x:c r="W268" s="27" t="str">
        <x:v>PDF p.1「系別」表／数学系行</x:v>
      </x:c>
      <x:c r="X268" s="27" t="str">
        <x:v>https://admissions.isct.ac.jp/plugins/cms/component_download_file.php?contentsDataId=&amp;contentsId=&amp;fileName=2025_record_master&amp;key=ba0f61bd956e12e9d0a3006c2c3231b3.pdf&amp;pageId=3284&amp;prevId=&amp;type=1</x:v>
      </x:c>
      <x:c r="Y268" s="27" t="str">
        <x:v>学院合計ではなく、当該「系」の行。</x:v>
      </x:c>
      <x:c r="Z268"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69" ht="38" customHeight="1">
      <x:c r="A269" s="2" t="str">
        <x:v>東京科学大学（旧・東京工業大学）</x:v>
      </x:c>
      <x:c r="B269" s="2" t="str">
        <x:v>理学院</x:v>
      </x:c>
      <x:c r="C269" s="2" t="str">
        <x:v>数学系</x:v>
      </x:c>
      <x:c r="D269" s="44" t="n">
        <x:v>2026</x:v>
      </x:c>
      <x:c r="E269" s="27" t="str">
        <x:v>2026年4月・2025年9月入学合計</x:v>
      </x:c>
      <x:c r="F269" s="27" t="str">
        <x:v>修士課程</x:v>
      </x:c>
      <x:c r="G269" s="27" t="str">
        <x:v>系別公表値（特別選考等の除外あり）</x:v>
      </x:c>
      <x:c r="H269" s="27" t="str">
        <x:v>专攻/系</x:v>
      </x:c>
      <x:c r="I269" s="44"/>
      <x:c r="J269" s="44" t="n">
        <x:v>97</x:v>
      </x:c>
      <x:c r="K269" s="44"/>
      <x:c r="L269" s="44" t="n">
        <x:v>41</x:v>
      </x:c>
      <x:c r="M269" s="44"/>
      <x:c r="N269" s="45" t="n">
        <x:f>IF(AND(J269&lt;&gt;"",L269&lt;&gt;0),J269/L269,"")</x:f>
        <x:v>2.3658536585365852</x:v>
      </x:c>
      <x:c r="O269" s="45" t="str">
        <x:f>IF(AND(K269&lt;&gt;"",L269&lt;&gt;0),K269/L269,"")</x:f>
      </x:c>
      <x:c r="P269" s="46" t="str">
        <x:f>IF(AND(K269&lt;&gt;"",K269&lt;&gt;0,L269&lt;&gt;""),L269/K269,"")</x:f>
      </x:c>
      <x:c r="Q269" s="46" t="str">
        <x:f>IF(AND(L269&lt;&gt;"",L269&lt;&gt;0,M269&lt;&gt;""),M269/L269,"")</x:f>
      </x:c>
      <x:c r="R269" s="45" t="n">
        <x:f>IF(N269&lt;&gt;"",N269,IF(O269&lt;&gt;"",O269,""))</x:f>
        <x:v>2.3658536585365852</x:v>
      </x:c>
      <x:c r="S269" s="2" t="str">
        <x:f>IF(N269&lt;&gt;"","志愿/合格",IF(O269&lt;&gt;"","受验/合格",""))</x:f>
        <x:v>志愿/合格</x:v>
      </x:c>
      <x:c r="T269" s="2" t="str">
        <x:v>官方</x:v>
      </x:c>
      <x:c r="U269" s="2" t="str">
        <x:v>高</x:v>
      </x:c>
      <x:c r="V269" s="27" t="str">
        <x:v>2026年4月入学及び2025年9月入学 東京科学大学大学院修士課程・専門職学位課程入学試験結果</x:v>
      </x:c>
      <x:c r="W269" s="27" t="str">
        <x:v>PDF p.1「系別」表／数学系行</x:v>
      </x:c>
      <x:c r="X269" s="27" t="str">
        <x:v>https://admissions.isct.ac.jp/plugins/cms/component_download_file.php?contentsDataId=&amp;contentsId=&amp;fileName=2026_record_master&amp;key=88014858637abe4c910ab16731dd187d.pdf&amp;pageId=3284&amp;prevId=&amp;type=1</x:v>
      </x:c>
      <x:c r="Y269" s="27" t="str">
        <x:v>学院合計ではなく、当該「系」の行。</x:v>
      </x:c>
      <x:c r="Z269"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70" ht="38" customHeight="1">
      <x:c r="A270" s="2" t="str">
        <x:v>東京科学大学（旧・東京工業大学）</x:v>
      </x:c>
      <x:c r="B270" s="2" t="str">
        <x:v>理学院</x:v>
      </x:c>
      <x:c r="C270" s="2" t="str">
        <x:v>地球惑星科学系</x:v>
      </x:c>
      <x:c r="D270" s="44" t="n">
        <x:v>2022</x:v>
      </x:c>
      <x:c r="E270" s="27" t="str">
        <x:v>2022年4月・2021年9月入学合計</x:v>
      </x:c>
      <x:c r="F270" s="27" t="str">
        <x:v>修士課程</x:v>
      </x:c>
      <x:c r="G270" s="27" t="str">
        <x:v>系別公表値（特別選考等の除外あり）</x:v>
      </x:c>
      <x:c r="H270" s="27" t="str">
        <x:v>专攻/系</x:v>
      </x:c>
      <x:c r="I270" s="44"/>
      <x:c r="J270" s="44" t="n">
        <x:v>40</x:v>
      </x:c>
      <x:c r="K270" s="44"/>
      <x:c r="L270" s="44" t="n">
        <x:v>29</x:v>
      </x:c>
      <x:c r="M270" s="44"/>
      <x:c r="N270" s="45" t="n">
        <x:f>IF(AND(J270&lt;&gt;"",L270&lt;&gt;0),J270/L270,"")</x:f>
        <x:v>1.3793103448275863</x:v>
      </x:c>
      <x:c r="O270" s="45" t="str">
        <x:f>IF(AND(K270&lt;&gt;"",L270&lt;&gt;0),K270/L270,"")</x:f>
      </x:c>
      <x:c r="P270" s="46" t="str">
        <x:f>IF(AND(K270&lt;&gt;"",K270&lt;&gt;0,L270&lt;&gt;""),L270/K270,"")</x:f>
      </x:c>
      <x:c r="Q270" s="46" t="str">
        <x:f>IF(AND(L270&lt;&gt;"",L270&lt;&gt;0,M270&lt;&gt;""),M270/L270,"")</x:f>
      </x:c>
      <x:c r="R270" s="45" t="n">
        <x:f>IF(N270&lt;&gt;"",N270,IF(O270&lt;&gt;"",O270,""))</x:f>
        <x:v>1.3793103448275863</x:v>
      </x:c>
      <x:c r="S270" s="2" t="str">
        <x:f>IF(N270&lt;&gt;"","志愿/合格",IF(O270&lt;&gt;"","受验/合格",""))</x:f>
        <x:v>志愿/合格</x:v>
      </x:c>
      <x:c r="T270" s="2" t="str">
        <x:v>官方</x:v>
      </x:c>
      <x:c r="U270" s="2" t="str">
        <x:v>高</x:v>
      </x:c>
      <x:c r="V270" s="27" t="str">
        <x:v>2022年4月入学及び2021年9月入学 東京工業大学大学院修士課程・専門職学位課程入学試験結果</x:v>
      </x:c>
      <x:c r="W270" s="27" t="str">
        <x:v>PDF p.1「系別」表／地球惑星科学系行</x:v>
      </x:c>
      <x:c r="X270" s="27" t="str">
        <x:v>https://admissions.isct.ac.jp/plugins/cms/component_download_file.php?contentsDataId=&amp;contentsId=&amp;fileName=2022-record-master&amp;key=43bb683af1f294642c21703b15823643.pdf&amp;pageId=3284&amp;prevId=&amp;type=1</x:v>
      </x:c>
      <x:c r="Y270" s="27" t="str">
        <x:v>学院合計ではなく、当該「系」の行。</x:v>
      </x:c>
      <x:c r="Z270"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71" ht="38" customHeight="1">
      <x:c r="A271" s="2" t="str">
        <x:v>東京科学大学（旧・東京工業大学）</x:v>
      </x:c>
      <x:c r="B271" s="2" t="str">
        <x:v>理学院</x:v>
      </x:c>
      <x:c r="C271" s="2" t="str">
        <x:v>地球惑星科学系</x:v>
      </x:c>
      <x:c r="D271" s="44" t="n">
        <x:v>2023</x:v>
      </x:c>
      <x:c r="E271" s="27" t="str">
        <x:v>2023年4月・2022年9月入学合計</x:v>
      </x:c>
      <x:c r="F271" s="27" t="str">
        <x:v>修士課程</x:v>
      </x:c>
      <x:c r="G271" s="27" t="str">
        <x:v>系別公表値（特別選考等の除外あり）</x:v>
      </x:c>
      <x:c r="H271" s="27" t="str">
        <x:v>专攻/系</x:v>
      </x:c>
      <x:c r="I271" s="44"/>
      <x:c r="J271" s="44" t="n">
        <x:v>41</x:v>
      </x:c>
      <x:c r="K271" s="44"/>
      <x:c r="L271" s="44" t="n">
        <x:v>26</x:v>
      </x:c>
      <x:c r="M271" s="44"/>
      <x:c r="N271" s="45" t="n">
        <x:f>IF(AND(J271&lt;&gt;"",L271&lt;&gt;0),J271/L271,"")</x:f>
        <x:v>1.5769230769230769</x:v>
      </x:c>
      <x:c r="O271" s="45" t="str">
        <x:f>IF(AND(K271&lt;&gt;"",L271&lt;&gt;0),K271/L271,"")</x:f>
      </x:c>
      <x:c r="P271" s="46" t="str">
        <x:f>IF(AND(K271&lt;&gt;"",K271&lt;&gt;0,L271&lt;&gt;""),L271/K271,"")</x:f>
      </x:c>
      <x:c r="Q271" s="46" t="str">
        <x:f>IF(AND(L271&lt;&gt;"",L271&lt;&gt;0,M271&lt;&gt;""),M271/L271,"")</x:f>
      </x:c>
      <x:c r="R271" s="45" t="n">
        <x:f>IF(N271&lt;&gt;"",N271,IF(O271&lt;&gt;"",O271,""))</x:f>
        <x:v>1.5769230769230769</x:v>
      </x:c>
      <x:c r="S271" s="2" t="str">
        <x:f>IF(N271&lt;&gt;"","志愿/合格",IF(O271&lt;&gt;"","受验/合格",""))</x:f>
        <x:v>志愿/合格</x:v>
      </x:c>
      <x:c r="T271" s="2" t="str">
        <x:v>官方</x:v>
      </x:c>
      <x:c r="U271" s="2" t="str">
        <x:v>高</x:v>
      </x:c>
      <x:c r="V271" s="27" t="str">
        <x:v>2023年4月入学及び2022年9月入学 東京工業大学大学院修士課程・専門職学位課程入学試験結果</x:v>
      </x:c>
      <x:c r="W271" s="27" t="str">
        <x:v>PDF p.1「系別」表／地球惑星科学系行</x:v>
      </x:c>
      <x:c r="X271" s="27" t="str">
        <x:v>https://admissions.isct.ac.jp/plugins/cms/component_download_file.php?contentsDataId=&amp;contentsId=&amp;fileName=2023-record-master&amp;key=c8b346e6ebcd7e97a3ed00de3bfcbb7b.pdf&amp;pageId=3284&amp;prevId=&amp;type=1</x:v>
      </x:c>
      <x:c r="Y271" s="27" t="str">
        <x:v>学院合計ではなく、当該「系」の行。</x:v>
      </x:c>
      <x:c r="Z271"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72" ht="38" customHeight="1">
      <x:c r="A272" s="2" t="str">
        <x:v>東京科学大学（旧・東京工業大学）</x:v>
      </x:c>
      <x:c r="B272" s="2" t="str">
        <x:v>理学院</x:v>
      </x:c>
      <x:c r="C272" s="2" t="str">
        <x:v>地球惑星科学系</x:v>
      </x:c>
      <x:c r="D272" s="44" t="n">
        <x:v>2024</x:v>
      </x:c>
      <x:c r="E272" s="27" t="str">
        <x:v>2024年4月・2023年9月入学合計</x:v>
      </x:c>
      <x:c r="F272" s="27" t="str">
        <x:v>修士課程</x:v>
      </x:c>
      <x:c r="G272" s="27" t="str">
        <x:v>系別公表値（特別選考等の除外あり）</x:v>
      </x:c>
      <x:c r="H272" s="27" t="str">
        <x:v>专攻/系</x:v>
      </x:c>
      <x:c r="I272" s="44"/>
      <x:c r="J272" s="44" t="n">
        <x:v>30</x:v>
      </x:c>
      <x:c r="K272" s="44"/>
      <x:c r="L272" s="44" t="n">
        <x:v>25</x:v>
      </x:c>
      <x:c r="M272" s="44"/>
      <x:c r="N272" s="45" t="n">
        <x:f>IF(AND(J272&lt;&gt;"",L272&lt;&gt;0),J272/L272,"")</x:f>
        <x:v>1.2</x:v>
      </x:c>
      <x:c r="O272" s="45" t="str">
        <x:f>IF(AND(K272&lt;&gt;"",L272&lt;&gt;0),K272/L272,"")</x:f>
      </x:c>
      <x:c r="P272" s="46" t="str">
        <x:f>IF(AND(K272&lt;&gt;"",K272&lt;&gt;0,L272&lt;&gt;""),L272/K272,"")</x:f>
      </x:c>
      <x:c r="Q272" s="46" t="str">
        <x:f>IF(AND(L272&lt;&gt;"",L272&lt;&gt;0,M272&lt;&gt;""),M272/L272,"")</x:f>
      </x:c>
      <x:c r="R272" s="45" t="n">
        <x:f>IF(N272&lt;&gt;"",N272,IF(O272&lt;&gt;"",O272,""))</x:f>
        <x:v>1.2</x:v>
      </x:c>
      <x:c r="S272" s="2" t="str">
        <x:f>IF(N272&lt;&gt;"","志愿/合格",IF(O272&lt;&gt;"","受验/合格",""))</x:f>
        <x:v>志愿/合格</x:v>
      </x:c>
      <x:c r="T272" s="2" t="str">
        <x:v>官方</x:v>
      </x:c>
      <x:c r="U272" s="2" t="str">
        <x:v>高</x:v>
      </x:c>
      <x:c r="V272" s="27" t="str">
        <x:v>2024年4月入学及び2023年9月入学 東京工業大学大学院修士課程・専門職学位課程入学試験結果</x:v>
      </x:c>
      <x:c r="W272" s="27" t="str">
        <x:v>PDF p.1「系別」表／地球惑星科学系行</x:v>
      </x:c>
      <x:c r="X272" s="27" t="str">
        <x:v>https://admissions.isct.ac.jp/plugins/cms/component_download_file.php?contentsDataId=&amp;contentsId=&amp;fileName=2024_record_master&amp;key=8d378f7061bc18ecfeb418efcbf2c515.pdf&amp;pageId=3284&amp;prevId=&amp;type=1</x:v>
      </x:c>
      <x:c r="Y272" s="27" t="str">
        <x:v>学院合計ではなく、当該「系」の行。</x:v>
      </x:c>
      <x:c r="Z272"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73" ht="38" customHeight="1">
      <x:c r="A273" s="2" t="str">
        <x:v>東京科学大学（旧・東京工業大学）</x:v>
      </x:c>
      <x:c r="B273" s="2" t="str">
        <x:v>理学院</x:v>
      </x:c>
      <x:c r="C273" s="2" t="str">
        <x:v>地球惑星科学系</x:v>
      </x:c>
      <x:c r="D273" s="44" t="n">
        <x:v>2025</x:v>
      </x:c>
      <x:c r="E273" s="27" t="str">
        <x:v>2025年4月・2024年9月入学合計</x:v>
      </x:c>
      <x:c r="F273" s="27" t="str">
        <x:v>修士課程</x:v>
      </x:c>
      <x:c r="G273" s="27" t="str">
        <x:v>系別公表値（特別選考等の除外あり）</x:v>
      </x:c>
      <x:c r="H273" s="27" t="str">
        <x:v>专攻/系</x:v>
      </x:c>
      <x:c r="I273" s="44"/>
      <x:c r="J273" s="44" t="n">
        <x:v>35</x:v>
      </x:c>
      <x:c r="K273" s="44"/>
      <x:c r="L273" s="44" t="n">
        <x:v>26</x:v>
      </x:c>
      <x:c r="M273" s="44"/>
      <x:c r="N273" s="45" t="n">
        <x:f>IF(AND(J273&lt;&gt;"",L273&lt;&gt;0),J273/L273,"")</x:f>
        <x:v>1.3461538461538463</x:v>
      </x:c>
      <x:c r="O273" s="45" t="str">
        <x:f>IF(AND(K273&lt;&gt;"",L273&lt;&gt;0),K273/L273,"")</x:f>
      </x:c>
      <x:c r="P273" s="46" t="str">
        <x:f>IF(AND(K273&lt;&gt;"",K273&lt;&gt;0,L273&lt;&gt;""),L273/K273,"")</x:f>
      </x:c>
      <x:c r="Q273" s="46" t="str">
        <x:f>IF(AND(L273&lt;&gt;"",L273&lt;&gt;0,M273&lt;&gt;""),M273/L273,"")</x:f>
      </x:c>
      <x:c r="R273" s="45" t="n">
        <x:f>IF(N273&lt;&gt;"",N273,IF(O273&lt;&gt;"",O273,""))</x:f>
        <x:v>1.3461538461538463</x:v>
      </x:c>
      <x:c r="S273" s="2" t="str">
        <x:f>IF(N273&lt;&gt;"","志愿/合格",IF(O273&lt;&gt;"","受验/合格",""))</x:f>
        <x:v>志愿/合格</x:v>
      </x:c>
      <x:c r="T273" s="2" t="str">
        <x:v>官方</x:v>
      </x:c>
      <x:c r="U273" s="2" t="str">
        <x:v>高</x:v>
      </x:c>
      <x:c r="V273" s="27" t="str">
        <x:v>2025年4月入学及び2024年9月入学 東京科学大学大学院修士課程・専門職学位課程入学試験結果</x:v>
      </x:c>
      <x:c r="W273" s="27" t="str">
        <x:v>PDF p.1「系別」表／地球惑星科学系行</x:v>
      </x:c>
      <x:c r="X273" s="27" t="str">
        <x:v>https://admissions.isct.ac.jp/plugins/cms/component_download_file.php?contentsDataId=&amp;contentsId=&amp;fileName=2025_record_master&amp;key=ba0f61bd956e12e9d0a3006c2c3231b3.pdf&amp;pageId=3284&amp;prevId=&amp;type=1</x:v>
      </x:c>
      <x:c r="Y273" s="27" t="str">
        <x:v>学院合計ではなく、当該「系」の行。</x:v>
      </x:c>
      <x:c r="Z273"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74" ht="38" customHeight="1">
      <x:c r="A274" s="2" t="str">
        <x:v>東京科学大学（旧・東京工業大学）</x:v>
      </x:c>
      <x:c r="B274" s="2" t="str">
        <x:v>理学院</x:v>
      </x:c>
      <x:c r="C274" s="2" t="str">
        <x:v>地球惑星科学系</x:v>
      </x:c>
      <x:c r="D274" s="44" t="n">
        <x:v>2026</x:v>
      </x:c>
      <x:c r="E274" s="27" t="str">
        <x:v>2026年4月・2025年9月入学合計</x:v>
      </x:c>
      <x:c r="F274" s="27" t="str">
        <x:v>修士課程</x:v>
      </x:c>
      <x:c r="G274" s="27" t="str">
        <x:v>系別公表値（特別選考等の除外あり）</x:v>
      </x:c>
      <x:c r="H274" s="27" t="str">
        <x:v>专攻/系</x:v>
      </x:c>
      <x:c r="I274" s="44"/>
      <x:c r="J274" s="44" t="n">
        <x:v>29</x:v>
      </x:c>
      <x:c r="K274" s="44"/>
      <x:c r="L274" s="44" t="n">
        <x:v>24</x:v>
      </x:c>
      <x:c r="M274" s="44"/>
      <x:c r="N274" s="45" t="n">
        <x:f>IF(AND(J274&lt;&gt;"",L274&lt;&gt;0),J274/L274,"")</x:f>
        <x:v>1.2083333333333333</x:v>
      </x:c>
      <x:c r="O274" s="45" t="str">
        <x:f>IF(AND(K274&lt;&gt;"",L274&lt;&gt;0),K274/L274,"")</x:f>
      </x:c>
      <x:c r="P274" s="46" t="str">
        <x:f>IF(AND(K274&lt;&gt;"",K274&lt;&gt;0,L274&lt;&gt;""),L274/K274,"")</x:f>
      </x:c>
      <x:c r="Q274" s="46" t="str">
        <x:f>IF(AND(L274&lt;&gt;"",L274&lt;&gt;0,M274&lt;&gt;""),M274/L274,"")</x:f>
      </x:c>
      <x:c r="R274" s="45" t="n">
        <x:f>IF(N274&lt;&gt;"",N274,IF(O274&lt;&gt;"",O274,""))</x:f>
        <x:v>1.2083333333333333</x:v>
      </x:c>
      <x:c r="S274" s="2" t="str">
        <x:f>IF(N274&lt;&gt;"","志愿/合格",IF(O274&lt;&gt;"","受验/合格",""))</x:f>
        <x:v>志愿/合格</x:v>
      </x:c>
      <x:c r="T274" s="2" t="str">
        <x:v>官方</x:v>
      </x:c>
      <x:c r="U274" s="2" t="str">
        <x:v>高</x:v>
      </x:c>
      <x:c r="V274" s="27" t="str">
        <x:v>2026年4月入学及び2025年9月入学 東京科学大学大学院修士課程・専門職学位課程入学試験結果</x:v>
      </x:c>
      <x:c r="W274" s="27" t="str">
        <x:v>PDF p.1「系別」表／地球惑星科学系行</x:v>
      </x:c>
      <x:c r="X274" s="27" t="str">
        <x:v>https://admissions.isct.ac.jp/plugins/cms/component_download_file.php?contentsDataId=&amp;contentsId=&amp;fileName=2026_record_master&amp;key=88014858637abe4c910ab16731dd187d.pdf&amp;pageId=3284&amp;prevId=&amp;type=1</x:v>
      </x:c>
      <x:c r="Y274" s="27" t="str">
        <x:v>学院合計ではなく、当該「系」の行。</x:v>
      </x:c>
      <x:c r="Z274"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75" ht="38" customHeight="1">
      <x:c r="A275" s="2" t="str">
        <x:v>東京科学大学（旧・東京工業大学）</x:v>
      </x:c>
      <x:c r="B275" s="2" t="str">
        <x:v>理学院</x:v>
      </x:c>
      <x:c r="C275" s="2" t="str">
        <x:v>物理学系</x:v>
      </x:c>
      <x:c r="D275" s="44" t="n">
        <x:v>2022</x:v>
      </x:c>
      <x:c r="E275" s="27" t="str">
        <x:v>2022年4月・2021年9月入学合計</x:v>
      </x:c>
      <x:c r="F275" s="27" t="str">
        <x:v>修士課程</x:v>
      </x:c>
      <x:c r="G275" s="27" t="str">
        <x:v>系別公表値（特別選考等の除外あり）</x:v>
      </x:c>
      <x:c r="H275" s="27" t="str">
        <x:v>专攻/系</x:v>
      </x:c>
      <x:c r="I275" s="44"/>
      <x:c r="J275" s="44" t="n">
        <x:v>105</x:v>
      </x:c>
      <x:c r="K275" s="44"/>
      <x:c r="L275" s="44" t="n">
        <x:v>70</x:v>
      </x:c>
      <x:c r="M275" s="44"/>
      <x:c r="N275" s="45" t="n">
        <x:f>IF(AND(J275&lt;&gt;"",L275&lt;&gt;0),J275/L275,"")</x:f>
        <x:v>1.5</x:v>
      </x:c>
      <x:c r="O275" s="45" t="str">
        <x:f>IF(AND(K275&lt;&gt;"",L275&lt;&gt;0),K275/L275,"")</x:f>
      </x:c>
      <x:c r="P275" s="46" t="str">
        <x:f>IF(AND(K275&lt;&gt;"",K275&lt;&gt;0,L275&lt;&gt;""),L275/K275,"")</x:f>
      </x:c>
      <x:c r="Q275" s="46" t="str">
        <x:f>IF(AND(L275&lt;&gt;"",L275&lt;&gt;0,M275&lt;&gt;""),M275/L275,"")</x:f>
      </x:c>
      <x:c r="R275" s="45" t="n">
        <x:f>IF(N275&lt;&gt;"",N275,IF(O275&lt;&gt;"",O275,""))</x:f>
        <x:v>1.5</x:v>
      </x:c>
      <x:c r="S275" s="2" t="str">
        <x:f>IF(N275&lt;&gt;"","志愿/合格",IF(O275&lt;&gt;"","受验/合格",""))</x:f>
        <x:v>志愿/合格</x:v>
      </x:c>
      <x:c r="T275" s="2" t="str">
        <x:v>官方</x:v>
      </x:c>
      <x:c r="U275" s="2" t="str">
        <x:v>高</x:v>
      </x:c>
      <x:c r="V275" s="27" t="str">
        <x:v>2022年4月入学及び2021年9月入学 東京工業大学大学院修士課程・専門職学位課程入学試験結果</x:v>
      </x:c>
      <x:c r="W275" s="27" t="str">
        <x:v>PDF p.1「系別」表／物理学系行</x:v>
      </x:c>
      <x:c r="X275" s="27" t="str">
        <x:v>https://admissions.isct.ac.jp/plugins/cms/component_download_file.php?contentsDataId=&amp;contentsId=&amp;fileName=2022-record-master&amp;key=43bb683af1f294642c21703b15823643.pdf&amp;pageId=3284&amp;prevId=&amp;type=1</x:v>
      </x:c>
      <x:c r="Y275" s="27" t="str">
        <x:v>学院合計ではなく、当該「系」の行。</x:v>
      </x:c>
      <x:c r="Z275"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76" ht="38" customHeight="1">
      <x:c r="A276" s="2" t="str">
        <x:v>東京科学大学（旧・東京工業大学）</x:v>
      </x:c>
      <x:c r="B276" s="2" t="str">
        <x:v>理学院</x:v>
      </x:c>
      <x:c r="C276" s="2" t="str">
        <x:v>物理学系</x:v>
      </x:c>
      <x:c r="D276" s="44" t="n">
        <x:v>2023</x:v>
      </x:c>
      <x:c r="E276" s="27" t="str">
        <x:v>2023年4月・2022年9月入学合計</x:v>
      </x:c>
      <x:c r="F276" s="27" t="str">
        <x:v>修士課程</x:v>
      </x:c>
      <x:c r="G276" s="27" t="str">
        <x:v>系別公表値（特別選考等の除外あり）</x:v>
      </x:c>
      <x:c r="H276" s="27" t="str">
        <x:v>专攻/系</x:v>
      </x:c>
      <x:c r="I276" s="44"/>
      <x:c r="J276" s="44" t="n">
        <x:v>105</x:v>
      </x:c>
      <x:c r="K276" s="44"/>
      <x:c r="L276" s="44" t="n">
        <x:v>68</x:v>
      </x:c>
      <x:c r="M276" s="44"/>
      <x:c r="N276" s="45" t="n">
        <x:f>IF(AND(J276&lt;&gt;"",L276&lt;&gt;0),J276/L276,"")</x:f>
        <x:v>1.5441176470588236</x:v>
      </x:c>
      <x:c r="O276" s="45" t="str">
        <x:f>IF(AND(K276&lt;&gt;"",L276&lt;&gt;0),K276/L276,"")</x:f>
      </x:c>
      <x:c r="P276" s="46" t="str">
        <x:f>IF(AND(K276&lt;&gt;"",K276&lt;&gt;0,L276&lt;&gt;""),L276/K276,"")</x:f>
      </x:c>
      <x:c r="Q276" s="46" t="str">
        <x:f>IF(AND(L276&lt;&gt;"",L276&lt;&gt;0,M276&lt;&gt;""),M276/L276,"")</x:f>
      </x:c>
      <x:c r="R276" s="45" t="n">
        <x:f>IF(N276&lt;&gt;"",N276,IF(O276&lt;&gt;"",O276,""))</x:f>
        <x:v>1.5441176470588236</x:v>
      </x:c>
      <x:c r="S276" s="2" t="str">
        <x:f>IF(N276&lt;&gt;"","志愿/合格",IF(O276&lt;&gt;"","受验/合格",""))</x:f>
        <x:v>志愿/合格</x:v>
      </x:c>
      <x:c r="T276" s="2" t="str">
        <x:v>官方</x:v>
      </x:c>
      <x:c r="U276" s="2" t="str">
        <x:v>高</x:v>
      </x:c>
      <x:c r="V276" s="27" t="str">
        <x:v>2023年4月入学及び2022年9月入学 東京工業大学大学院修士課程・専門職学位課程入学試験結果</x:v>
      </x:c>
      <x:c r="W276" s="27" t="str">
        <x:v>PDF p.1「系別」表／物理学系行</x:v>
      </x:c>
      <x:c r="X276" s="27" t="str">
        <x:v>https://admissions.isct.ac.jp/plugins/cms/component_download_file.php?contentsDataId=&amp;contentsId=&amp;fileName=2023-record-master&amp;key=c8b346e6ebcd7e97a3ed00de3bfcbb7b.pdf&amp;pageId=3284&amp;prevId=&amp;type=1</x:v>
      </x:c>
      <x:c r="Y276" s="27" t="str">
        <x:v>学院合計ではなく、当該「系」の行。</x:v>
      </x:c>
      <x:c r="Z276"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77" ht="38" customHeight="1">
      <x:c r="A277" s="2" t="str">
        <x:v>東京科学大学（旧・東京工業大学）</x:v>
      </x:c>
      <x:c r="B277" s="2" t="str">
        <x:v>理学院</x:v>
      </x:c>
      <x:c r="C277" s="2" t="str">
        <x:v>物理学系</x:v>
      </x:c>
      <x:c r="D277" s="44" t="n">
        <x:v>2024</x:v>
      </x:c>
      <x:c r="E277" s="27" t="str">
        <x:v>2024年4月・2023年9月入学合計</x:v>
      </x:c>
      <x:c r="F277" s="27" t="str">
        <x:v>修士課程</x:v>
      </x:c>
      <x:c r="G277" s="27" t="str">
        <x:v>系別公表値（特別選考等の除外あり）</x:v>
      </x:c>
      <x:c r="H277" s="27" t="str">
        <x:v>专攻/系</x:v>
      </x:c>
      <x:c r="I277" s="44"/>
      <x:c r="J277" s="44" t="n">
        <x:v>113</x:v>
      </x:c>
      <x:c r="K277" s="44"/>
      <x:c r="L277" s="44" t="n">
        <x:v>70</x:v>
      </x:c>
      <x:c r="M277" s="44"/>
      <x:c r="N277" s="45" t="n">
        <x:f>IF(AND(J277&lt;&gt;"",L277&lt;&gt;0),J277/L277,"")</x:f>
        <x:v>1.6142857142857143</x:v>
      </x:c>
      <x:c r="O277" s="45" t="str">
        <x:f>IF(AND(K277&lt;&gt;"",L277&lt;&gt;0),K277/L277,"")</x:f>
      </x:c>
      <x:c r="P277" s="46" t="str">
        <x:f>IF(AND(K277&lt;&gt;"",K277&lt;&gt;0,L277&lt;&gt;""),L277/K277,"")</x:f>
      </x:c>
      <x:c r="Q277" s="46" t="str">
        <x:f>IF(AND(L277&lt;&gt;"",L277&lt;&gt;0,M277&lt;&gt;""),M277/L277,"")</x:f>
      </x:c>
      <x:c r="R277" s="45" t="n">
        <x:f>IF(N277&lt;&gt;"",N277,IF(O277&lt;&gt;"",O277,""))</x:f>
        <x:v>1.6142857142857143</x:v>
      </x:c>
      <x:c r="S277" s="2" t="str">
        <x:f>IF(N277&lt;&gt;"","志愿/合格",IF(O277&lt;&gt;"","受验/合格",""))</x:f>
        <x:v>志愿/合格</x:v>
      </x:c>
      <x:c r="T277" s="2" t="str">
        <x:v>官方</x:v>
      </x:c>
      <x:c r="U277" s="2" t="str">
        <x:v>高</x:v>
      </x:c>
      <x:c r="V277" s="27" t="str">
        <x:v>2024年4月入学及び2023年9月入学 東京工業大学大学院修士課程・専門職学位課程入学試験結果</x:v>
      </x:c>
      <x:c r="W277" s="27" t="str">
        <x:v>PDF p.1「系別」表／物理学系行</x:v>
      </x:c>
      <x:c r="X277" s="27" t="str">
        <x:v>https://admissions.isct.ac.jp/plugins/cms/component_download_file.php?contentsDataId=&amp;contentsId=&amp;fileName=2024_record_master&amp;key=8d378f7061bc18ecfeb418efcbf2c515.pdf&amp;pageId=3284&amp;prevId=&amp;type=1</x:v>
      </x:c>
      <x:c r="Y277" s="27" t="str">
        <x:v>学院合計ではなく、当該「系」の行。</x:v>
      </x:c>
      <x:c r="Z277"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78" ht="38" customHeight="1">
      <x:c r="A278" s="2" t="str">
        <x:v>東京科学大学（旧・東京工業大学）</x:v>
      </x:c>
      <x:c r="B278" s="2" t="str">
        <x:v>理学院</x:v>
      </x:c>
      <x:c r="C278" s="2" t="str">
        <x:v>物理学系</x:v>
      </x:c>
      <x:c r="D278" s="44" t="n">
        <x:v>2025</x:v>
      </x:c>
      <x:c r="E278" s="27" t="str">
        <x:v>2025年4月・2024年9月入学合計</x:v>
      </x:c>
      <x:c r="F278" s="27" t="str">
        <x:v>修士課程</x:v>
      </x:c>
      <x:c r="G278" s="27" t="str">
        <x:v>系別公表値（特別選考等の除外あり）</x:v>
      </x:c>
      <x:c r="H278" s="27" t="str">
        <x:v>专攻/系</x:v>
      </x:c>
      <x:c r="I278" s="44"/>
      <x:c r="J278" s="44" t="n">
        <x:v>132</x:v>
      </x:c>
      <x:c r="K278" s="44"/>
      <x:c r="L278" s="44" t="n">
        <x:v>67</x:v>
      </x:c>
      <x:c r="M278" s="44"/>
      <x:c r="N278" s="45" t="n">
        <x:f>IF(AND(J278&lt;&gt;"",L278&lt;&gt;0),J278/L278,"")</x:f>
        <x:v>1.9701492537313432</x:v>
      </x:c>
      <x:c r="O278" s="45" t="str">
        <x:f>IF(AND(K278&lt;&gt;"",L278&lt;&gt;0),K278/L278,"")</x:f>
      </x:c>
      <x:c r="P278" s="46" t="str">
        <x:f>IF(AND(K278&lt;&gt;"",K278&lt;&gt;0,L278&lt;&gt;""),L278/K278,"")</x:f>
      </x:c>
      <x:c r="Q278" s="46" t="str">
        <x:f>IF(AND(L278&lt;&gt;"",L278&lt;&gt;0,M278&lt;&gt;""),M278/L278,"")</x:f>
      </x:c>
      <x:c r="R278" s="45" t="n">
        <x:f>IF(N278&lt;&gt;"",N278,IF(O278&lt;&gt;"",O278,""))</x:f>
        <x:v>1.9701492537313432</x:v>
      </x:c>
      <x:c r="S278" s="2" t="str">
        <x:f>IF(N278&lt;&gt;"","志愿/合格",IF(O278&lt;&gt;"","受验/合格",""))</x:f>
        <x:v>志愿/合格</x:v>
      </x:c>
      <x:c r="T278" s="2" t="str">
        <x:v>官方</x:v>
      </x:c>
      <x:c r="U278" s="2" t="str">
        <x:v>高</x:v>
      </x:c>
      <x:c r="V278" s="27" t="str">
        <x:v>2025年4月入学及び2024年9月入学 東京科学大学大学院修士課程・専門職学位課程入学試験結果</x:v>
      </x:c>
      <x:c r="W278" s="27" t="str">
        <x:v>PDF p.1「系別」表／物理学系行</x:v>
      </x:c>
      <x:c r="X278" s="27" t="str">
        <x:v>https://admissions.isct.ac.jp/plugins/cms/component_download_file.php?contentsDataId=&amp;contentsId=&amp;fileName=2025_record_master&amp;key=ba0f61bd956e12e9d0a3006c2c3231b3.pdf&amp;pageId=3284&amp;prevId=&amp;type=1</x:v>
      </x:c>
      <x:c r="Y278" s="27" t="str">
        <x:v>学院合計ではなく、当該「系」の行。</x:v>
      </x:c>
      <x:c r="Z278"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79" ht="38" customHeight="1">
      <x:c r="A279" s="2" t="str">
        <x:v>東京科学大学（旧・東京工業大学）</x:v>
      </x:c>
      <x:c r="B279" s="2" t="str">
        <x:v>理学院</x:v>
      </x:c>
      <x:c r="C279" s="2" t="str">
        <x:v>物理学系</x:v>
      </x:c>
      <x:c r="D279" s="44" t="n">
        <x:v>2026</x:v>
      </x:c>
      <x:c r="E279" s="27" t="str">
        <x:v>2026年4月・2025年9月入学合計</x:v>
      </x:c>
      <x:c r="F279" s="27" t="str">
        <x:v>修士課程</x:v>
      </x:c>
      <x:c r="G279" s="27" t="str">
        <x:v>系別公表値（特別選考等の除外あり）</x:v>
      </x:c>
      <x:c r="H279" s="27" t="str">
        <x:v>专攻/系</x:v>
      </x:c>
      <x:c r="I279" s="44"/>
      <x:c r="J279" s="44" t="n">
        <x:v>116</x:v>
      </x:c>
      <x:c r="K279" s="44"/>
      <x:c r="L279" s="44" t="n">
        <x:v>72</x:v>
      </x:c>
      <x:c r="M279" s="44"/>
      <x:c r="N279" s="45" t="n">
        <x:f>IF(AND(J279&lt;&gt;"",L279&lt;&gt;0),J279/L279,"")</x:f>
        <x:v>1.6111111111111112</x:v>
      </x:c>
      <x:c r="O279" s="45" t="str">
        <x:f>IF(AND(K279&lt;&gt;"",L279&lt;&gt;0),K279/L279,"")</x:f>
      </x:c>
      <x:c r="P279" s="46" t="str">
        <x:f>IF(AND(K279&lt;&gt;"",K279&lt;&gt;0,L279&lt;&gt;""),L279/K279,"")</x:f>
      </x:c>
      <x:c r="Q279" s="46" t="str">
        <x:f>IF(AND(L279&lt;&gt;"",L279&lt;&gt;0,M279&lt;&gt;""),M279/L279,"")</x:f>
      </x:c>
      <x:c r="R279" s="45" t="n">
        <x:f>IF(N279&lt;&gt;"",N279,IF(O279&lt;&gt;"",O279,""))</x:f>
        <x:v>1.6111111111111112</x:v>
      </x:c>
      <x:c r="S279" s="2" t="str">
        <x:f>IF(N279&lt;&gt;"","志愿/合格",IF(O279&lt;&gt;"","受验/合格",""))</x:f>
        <x:v>志愿/合格</x:v>
      </x:c>
      <x:c r="T279" s="2" t="str">
        <x:v>官方</x:v>
      </x:c>
      <x:c r="U279" s="2" t="str">
        <x:v>高</x:v>
      </x:c>
      <x:c r="V279" s="27" t="str">
        <x:v>2026年4月入学及び2025年9月入学 東京科学大学大学院修士課程・専門職学位課程入学試験結果</x:v>
      </x:c>
      <x:c r="W279" s="27" t="str">
        <x:v>PDF p.1「系別」表／物理学系行</x:v>
      </x:c>
      <x:c r="X279" s="27" t="str">
        <x:v>https://admissions.isct.ac.jp/plugins/cms/component_download_file.php?contentsDataId=&amp;contentsId=&amp;fileName=2026_record_master&amp;key=88014858637abe4c910ab16731dd187d.pdf&amp;pageId=3284&amp;prevId=&amp;type=1</x:v>
      </x:c>
      <x:c r="Y279" s="27" t="str">
        <x:v>学院合計ではなく、当該「系」の行。</x:v>
      </x:c>
      <x:c r="Z279" s="47" t="str">
        <x:v>PDF注記により、清華大学大学院合同プログラム、国際大学院プログラム、外国人留学生特別選考、技術経営専門職学位課程とのデュアルディグリープログラム等は含まない。受験者数・入学者数・系別定員は非掲載。</x:v>
      </x:c>
    </x:row>
    <x:row r="280" ht="38" customHeight="1">
      <x:c r="A280" s="2" t="str">
        <x:v>北海道大学</x:v>
      </x:c>
      <x:c r="B280" s="2" t="str">
        <x:v>公共政策大学院（公共政策学教育部）</x:v>
      </x:c>
      <x:c r="C280" s="2" t="str">
        <x:v>公共政策学専攻（大学院全体）</x:v>
      </x:c>
      <x:c r="D280" s="44" t="n">
        <x:v>2022</x:v>
      </x:c>
      <x:c r="E280" s="27" t="str">
        <x:v>年度合計</x:v>
      </x:c>
      <x:c r="F280" s="27" t="str">
        <x:v>専門職学位課程</x:v>
      </x:c>
      <x:c r="G280" s="27" t="str">
        <x:v>一般選考</x:v>
      </x:c>
      <x:c r="H280" s="27" t="str">
        <x:v>研究科合计</x:v>
      </x:c>
      <x:c r="I280" s="44"/>
      <x:c r="J280" s="44" t="n">
        <x:v>18</x:v>
      </x:c>
      <x:c r="K280" s="44"/>
      <x:c r="L280" s="44" t="n">
        <x:v>16</x:v>
      </x:c>
      <x:c r="M280" s="44"/>
      <x:c r="N280" s="45" t="n">
        <x:f>IF(AND(J280&lt;&gt;"",L280&lt;&gt;0),J280/L280,"")</x:f>
        <x:v>1.125</x:v>
      </x:c>
      <x:c r="O280" s="45" t="str">
        <x:f>IF(AND(K280&lt;&gt;"",L280&lt;&gt;0),K280/L280,"")</x:f>
      </x:c>
      <x:c r="P280" s="46" t="str">
        <x:f>IF(AND(K280&lt;&gt;"",K280&lt;&gt;0,L280&lt;&gt;""),L280/K280,"")</x:f>
      </x:c>
      <x:c r="Q280" s="46" t="str">
        <x:f>IF(AND(L280&lt;&gt;"",L280&lt;&gt;0,M280&lt;&gt;""),M280/L280,"")</x:f>
      </x:c>
      <x:c r="R280" s="45" t="n">
        <x:f>IF(N280&lt;&gt;"",N280,IF(O280&lt;&gt;"",O280,""))</x:f>
        <x:v>1.125</x:v>
      </x:c>
      <x:c r="S280" s="2" t="str">
        <x:f>IF(N280&lt;&gt;"","志愿/合格",IF(O280&lt;&gt;"","受验/合格",""))</x:f>
        <x:v>志愿/合格</x:v>
      </x:c>
      <x:c r="T280" s="2" t="str">
        <x:v>官方</x:v>
      </x:c>
      <x:c r="U280" s="2" t="str">
        <x:v>高</x:v>
      </x:c>
      <x:c r="V280" s="27" t="str">
        <x:v>過去の入試結果 | 北海道大学公共政策大学院</x:v>
      </x:c>
      <x:c r="W280" s="27" t="str">
        <x:v>令和4（2022）年度表／一般選考</x:v>
      </x:c>
      <x:c r="X280" s="27" t="str">
        <x:v>https://www.hops.hokudai.ac.jp/admission/past-result/</x:v>
      </x:c>
      <x:c r="Y280" s="27" t="str">
        <x:v>公共政策大学院全体の選考区分別公表値。</x:v>
      </x:c>
      <x:c r="Z280" s="47" t="str">
        <x:v>募集人員、受験者数、入学者数は非掲載。</x:v>
      </x:c>
    </x:row>
    <x:row r="281" ht="38" customHeight="1">
      <x:c r="A281" s="2" t="str">
        <x:v>北海道大学</x:v>
      </x:c>
      <x:c r="B281" s="2" t="str">
        <x:v>公共政策大学院（公共政策学教育部）</x:v>
      </x:c>
      <x:c r="C281" s="2" t="str">
        <x:v>公共政策学専攻（大学院全体）</x:v>
      </x:c>
      <x:c r="D281" s="44" t="n">
        <x:v>2022</x:v>
      </x:c>
      <x:c r="E281" s="27" t="str">
        <x:v>年度合計</x:v>
      </x:c>
      <x:c r="F281" s="27" t="str">
        <x:v>専門職学位課程</x:v>
      </x:c>
      <x:c r="G281" s="27" t="str">
        <x:v>基準特別選考</x:v>
      </x:c>
      <x:c r="H281" s="27" t="str">
        <x:v>研究科合计</x:v>
      </x:c>
      <x:c r="I281" s="44"/>
      <x:c r="J281" s="44" t="n">
        <x:v>4</x:v>
      </x:c>
      <x:c r="K281" s="44"/>
      <x:c r="L281" s="44" t="n">
        <x:v>3</x:v>
      </x:c>
      <x:c r="M281" s="44"/>
      <x:c r="N281" s="45" t="n">
        <x:f>IF(AND(J281&lt;&gt;"",L281&lt;&gt;0),J281/L281,"")</x:f>
        <x:v>1.3333333333333333</x:v>
      </x:c>
      <x:c r="O281" s="45" t="str">
        <x:f>IF(AND(K281&lt;&gt;"",L281&lt;&gt;0),K281/L281,"")</x:f>
      </x:c>
      <x:c r="P281" s="46" t="str">
        <x:f>IF(AND(K281&lt;&gt;"",K281&lt;&gt;0,L281&lt;&gt;""),L281/K281,"")</x:f>
      </x:c>
      <x:c r="Q281" s="46" t="str">
        <x:f>IF(AND(L281&lt;&gt;"",L281&lt;&gt;0,M281&lt;&gt;""),M281/L281,"")</x:f>
      </x:c>
      <x:c r="R281" s="45" t="n">
        <x:f>IF(N281&lt;&gt;"",N281,IF(O281&lt;&gt;"",O281,""))</x:f>
        <x:v>1.3333333333333333</x:v>
      </x:c>
      <x:c r="S281" s="2" t="str">
        <x:f>IF(N281&lt;&gt;"","志愿/合格",IF(O281&lt;&gt;"","受验/合格",""))</x:f>
        <x:v>志愿/合格</x:v>
      </x:c>
      <x:c r="T281" s="2" t="str">
        <x:v>官方</x:v>
      </x:c>
      <x:c r="U281" s="2" t="str">
        <x:v>高</x:v>
      </x:c>
      <x:c r="V281" s="27" t="str">
        <x:v>過去の入試結果 | 北海道大学公共政策大学院</x:v>
      </x:c>
      <x:c r="W281" s="27" t="str">
        <x:v>令和4（2022）年度表／基準特別選考</x:v>
      </x:c>
      <x:c r="X281" s="27" t="str">
        <x:v>https://www.hops.hokudai.ac.jp/admission/past-result/</x:v>
      </x:c>
      <x:c r="Y281" s="27" t="str">
        <x:v>公共政策大学院全体の選考区分別公表値。</x:v>
      </x:c>
      <x:c r="Z281" s="47" t="str">
        <x:v>募集人員、受験者数、入学者数は非掲載。</x:v>
      </x:c>
    </x:row>
    <x:row r="282" ht="38" customHeight="1">
      <x:c r="A282" s="2" t="str">
        <x:v>北海道大学</x:v>
      </x:c>
      <x:c r="B282" s="2" t="str">
        <x:v>公共政策大学院（公共政策学教育部）</x:v>
      </x:c>
      <x:c r="C282" s="2" t="str">
        <x:v>公共政策学専攻（大学院全体）</x:v>
      </x:c>
      <x:c r="D282" s="44" t="n">
        <x:v>2022</x:v>
      </x:c>
      <x:c r="E282" s="27" t="str">
        <x:v>年度合計</x:v>
      </x:c>
      <x:c r="F282" s="27" t="str">
        <x:v>専門職学位課程</x:v>
      </x:c>
      <x:c r="G282" s="27" t="str">
        <x:v>社会人特別選考</x:v>
      </x:c>
      <x:c r="H282" s="27" t="str">
        <x:v>研究科合计</x:v>
      </x:c>
      <x:c r="I282" s="44"/>
      <x:c r="J282" s="44" t="n">
        <x:v>16</x:v>
      </x:c>
      <x:c r="K282" s="44"/>
      <x:c r="L282" s="44" t="n">
        <x:v>10</x:v>
      </x:c>
      <x:c r="M282" s="44"/>
      <x:c r="N282" s="45" t="n">
        <x:f>IF(AND(J282&lt;&gt;"",L282&lt;&gt;0),J282/L282,"")</x:f>
        <x:v>1.6</x:v>
      </x:c>
      <x:c r="O282" s="45" t="str">
        <x:f>IF(AND(K282&lt;&gt;"",L282&lt;&gt;0),K282/L282,"")</x:f>
      </x:c>
      <x:c r="P282" s="46" t="str">
        <x:f>IF(AND(K282&lt;&gt;"",K282&lt;&gt;0,L282&lt;&gt;""),L282/K282,"")</x:f>
      </x:c>
      <x:c r="Q282" s="46" t="str">
        <x:f>IF(AND(L282&lt;&gt;"",L282&lt;&gt;0,M282&lt;&gt;""),M282/L282,"")</x:f>
      </x:c>
      <x:c r="R282" s="45" t="n">
        <x:f>IF(N282&lt;&gt;"",N282,IF(O282&lt;&gt;"",O282,""))</x:f>
        <x:v>1.6</x:v>
      </x:c>
      <x:c r="S282" s="2" t="str">
        <x:f>IF(N282&lt;&gt;"","志愿/合格",IF(O282&lt;&gt;"","受验/合格",""))</x:f>
        <x:v>志愿/合格</x:v>
      </x:c>
      <x:c r="T282" s="2" t="str">
        <x:v>官方</x:v>
      </x:c>
      <x:c r="U282" s="2" t="str">
        <x:v>高</x:v>
      </x:c>
      <x:c r="V282" s="27" t="str">
        <x:v>過去の入試結果 | 北海道大学公共政策大学院</x:v>
      </x:c>
      <x:c r="W282" s="27" t="str">
        <x:v>令和4（2022）年度表／社会人特別選考</x:v>
      </x:c>
      <x:c r="X282" s="27" t="str">
        <x:v>https://www.hops.hokudai.ac.jp/admission/past-result/</x:v>
      </x:c>
      <x:c r="Y282" s="27" t="str">
        <x:v>公共政策大学院全体の選考区分別公表値。</x:v>
      </x:c>
      <x:c r="Z282" s="47" t="str">
        <x:v>募集人員、受験者数、入学者数は非掲載。</x:v>
      </x:c>
    </x:row>
    <x:row r="283" ht="38" customHeight="1">
      <x:c r="A283" s="2" t="str">
        <x:v>北海道大学</x:v>
      </x:c>
      <x:c r="B283" s="2" t="str">
        <x:v>公共政策大学院（公共政策学教育部）</x:v>
      </x:c>
      <x:c r="C283" s="2" t="str">
        <x:v>公共政策学専攻（大学院全体）</x:v>
      </x:c>
      <x:c r="D283" s="44" t="n">
        <x:v>2022</x:v>
      </x:c>
      <x:c r="E283" s="27" t="str">
        <x:v>年度合計</x:v>
      </x:c>
      <x:c r="F283" s="27" t="str">
        <x:v>専門職学位課程</x:v>
      </x:c>
      <x:c r="G283" s="27" t="str">
        <x:v>外国人留学生特別選考</x:v>
      </x:c>
      <x:c r="H283" s="27" t="str">
        <x:v>研究科合计</x:v>
      </x:c>
      <x:c r="I283" s="44"/>
      <x:c r="J283" s="44" t="n">
        <x:v>19</x:v>
      </x:c>
      <x:c r="K283" s="44"/>
      <x:c r="L283" s="44" t="n">
        <x:v>8</x:v>
      </x:c>
      <x:c r="M283" s="44"/>
      <x:c r="N283" s="45" t="n">
        <x:f>IF(AND(J283&lt;&gt;"",L283&lt;&gt;0),J283/L283,"")</x:f>
        <x:v>2.375</x:v>
      </x:c>
      <x:c r="O283" s="45" t="str">
        <x:f>IF(AND(K283&lt;&gt;"",L283&lt;&gt;0),K283/L283,"")</x:f>
      </x:c>
      <x:c r="P283" s="46" t="str">
        <x:f>IF(AND(K283&lt;&gt;"",K283&lt;&gt;0,L283&lt;&gt;""),L283/K283,"")</x:f>
      </x:c>
      <x:c r="Q283" s="46" t="str">
        <x:f>IF(AND(L283&lt;&gt;"",L283&lt;&gt;0,M283&lt;&gt;""),M283/L283,"")</x:f>
      </x:c>
      <x:c r="R283" s="45" t="n">
        <x:f>IF(N283&lt;&gt;"",N283,IF(O283&lt;&gt;"",O283,""))</x:f>
        <x:v>2.375</x:v>
      </x:c>
      <x:c r="S283" s="2" t="str">
        <x:f>IF(N283&lt;&gt;"","志愿/合格",IF(O283&lt;&gt;"","受验/合格",""))</x:f>
        <x:v>志愿/合格</x:v>
      </x:c>
      <x:c r="T283" s="2" t="str">
        <x:v>官方</x:v>
      </x:c>
      <x:c r="U283" s="2" t="str">
        <x:v>高</x:v>
      </x:c>
      <x:c r="V283" s="27" t="str">
        <x:v>過去の入試結果 | 北海道大学公共政策大学院</x:v>
      </x:c>
      <x:c r="W283" s="27" t="str">
        <x:v>令和4（2022）年度表／外国人留学生特別選考</x:v>
      </x:c>
      <x:c r="X283" s="27" t="str">
        <x:v>https://www.hops.hokudai.ac.jp/admission/past-result/</x:v>
      </x:c>
      <x:c r="Y283" s="27" t="str">
        <x:v>公共政策大学院全体の選考区分別公表値。</x:v>
      </x:c>
      <x:c r="Z283" s="47" t="str">
        <x:v>募集人員、受験者数、入学者数は非掲載。</x:v>
      </x:c>
    </x:row>
    <x:row r="284" ht="38" customHeight="1">
      <x:c r="A284" s="2" t="str">
        <x:v>北海道大学</x:v>
      </x:c>
      <x:c r="B284" s="2" t="str">
        <x:v>公共政策大学院（公共政策学教育部）</x:v>
      </x:c>
      <x:c r="C284" s="2" t="str">
        <x:v>公共政策学専攻（大学院全体）</x:v>
      </x:c>
      <x:c r="D284" s="44" t="n">
        <x:v>2023</x:v>
      </x:c>
      <x:c r="E284" s="27" t="str">
        <x:v>年度合計</x:v>
      </x:c>
      <x:c r="F284" s="27" t="str">
        <x:v>専門職学位課程</x:v>
      </x:c>
      <x:c r="G284" s="27" t="str">
        <x:v>一般選考</x:v>
      </x:c>
      <x:c r="H284" s="27" t="str">
        <x:v>研究科合计</x:v>
      </x:c>
      <x:c r="I284" s="44"/>
      <x:c r="J284" s="44" t="n">
        <x:v>17</x:v>
      </x:c>
      <x:c r="K284" s="44"/>
      <x:c r="L284" s="44" t="n">
        <x:v>9</x:v>
      </x:c>
      <x:c r="M284" s="44"/>
      <x:c r="N284" s="45" t="n">
        <x:f>IF(AND(J284&lt;&gt;"",L284&lt;&gt;0),J284/L284,"")</x:f>
        <x:v>1.8888888888888888</x:v>
      </x:c>
      <x:c r="O284" s="45" t="str">
        <x:f>IF(AND(K284&lt;&gt;"",L284&lt;&gt;0),K284/L284,"")</x:f>
      </x:c>
      <x:c r="P284" s="46" t="str">
        <x:f>IF(AND(K284&lt;&gt;"",K284&lt;&gt;0,L284&lt;&gt;""),L284/K284,"")</x:f>
      </x:c>
      <x:c r="Q284" s="46" t="str">
        <x:f>IF(AND(L284&lt;&gt;"",L284&lt;&gt;0,M284&lt;&gt;""),M284/L284,"")</x:f>
      </x:c>
      <x:c r="R284" s="45" t="n">
        <x:f>IF(N284&lt;&gt;"",N284,IF(O284&lt;&gt;"",O284,""))</x:f>
        <x:v>1.8888888888888888</x:v>
      </x:c>
      <x:c r="S284" s="2" t="str">
        <x:f>IF(N284&lt;&gt;"","志愿/合格",IF(O284&lt;&gt;"","受验/合格",""))</x:f>
        <x:v>志愿/合格</x:v>
      </x:c>
      <x:c r="T284" s="2" t="str">
        <x:v>官方</x:v>
      </x:c>
      <x:c r="U284" s="2" t="str">
        <x:v>高</x:v>
      </x:c>
      <x:c r="V284" s="27" t="str">
        <x:v>過去の入試結果 | 北海道大学公共政策大学院</x:v>
      </x:c>
      <x:c r="W284" s="27" t="str">
        <x:v>令和5（2023）年度表／一般選考</x:v>
      </x:c>
      <x:c r="X284" s="27" t="str">
        <x:v>https://www.hops.hokudai.ac.jp/admission/past-result/</x:v>
      </x:c>
      <x:c r="Y284" s="27" t="str">
        <x:v>公共政策大学院全体の選考区分別公表値。</x:v>
      </x:c>
      <x:c r="Z284" s="47" t="str">
        <x:v>募集人員、受験者数、入学者数は非掲載。</x:v>
      </x:c>
    </x:row>
    <x:row r="285" ht="38" customHeight="1">
      <x:c r="A285" s="2" t="str">
        <x:v>北海道大学</x:v>
      </x:c>
      <x:c r="B285" s="2" t="str">
        <x:v>公共政策大学院（公共政策学教育部）</x:v>
      </x:c>
      <x:c r="C285" s="2" t="str">
        <x:v>公共政策学専攻（大学院全体）</x:v>
      </x:c>
      <x:c r="D285" s="44" t="n">
        <x:v>2023</x:v>
      </x:c>
      <x:c r="E285" s="27" t="str">
        <x:v>年度合計</x:v>
      </x:c>
      <x:c r="F285" s="27" t="str">
        <x:v>専門職学位課程</x:v>
      </x:c>
      <x:c r="G285" s="27" t="str">
        <x:v>基準特別選考</x:v>
      </x:c>
      <x:c r="H285" s="27" t="str">
        <x:v>研究科合计</x:v>
      </x:c>
      <x:c r="I285" s="44"/>
      <x:c r="J285" s="44" t="n">
        <x:v>10</x:v>
      </x:c>
      <x:c r="K285" s="44"/>
      <x:c r="L285" s="44" t="n">
        <x:v>8</x:v>
      </x:c>
      <x:c r="M285" s="44"/>
      <x:c r="N285" s="45" t="n">
        <x:f>IF(AND(J285&lt;&gt;"",L285&lt;&gt;0),J285/L285,"")</x:f>
        <x:v>1.25</x:v>
      </x:c>
      <x:c r="O285" s="45" t="str">
        <x:f>IF(AND(K285&lt;&gt;"",L285&lt;&gt;0),K285/L285,"")</x:f>
      </x:c>
      <x:c r="P285" s="46" t="str">
        <x:f>IF(AND(K285&lt;&gt;"",K285&lt;&gt;0,L285&lt;&gt;""),L285/K285,"")</x:f>
      </x:c>
      <x:c r="Q285" s="46" t="str">
        <x:f>IF(AND(L285&lt;&gt;"",L285&lt;&gt;0,M285&lt;&gt;""),M285/L285,"")</x:f>
      </x:c>
      <x:c r="R285" s="45" t="n">
        <x:f>IF(N285&lt;&gt;"",N285,IF(O285&lt;&gt;"",O285,""))</x:f>
        <x:v>1.25</x:v>
      </x:c>
      <x:c r="S285" s="2" t="str">
        <x:f>IF(N285&lt;&gt;"","志愿/合格",IF(O285&lt;&gt;"","受验/合格",""))</x:f>
        <x:v>志愿/合格</x:v>
      </x:c>
      <x:c r="T285" s="2" t="str">
        <x:v>官方</x:v>
      </x:c>
      <x:c r="U285" s="2" t="str">
        <x:v>高</x:v>
      </x:c>
      <x:c r="V285" s="27" t="str">
        <x:v>過去の入試結果 | 北海道大学公共政策大学院</x:v>
      </x:c>
      <x:c r="W285" s="27" t="str">
        <x:v>令和5（2023）年度表／基準特別選考</x:v>
      </x:c>
      <x:c r="X285" s="27" t="str">
        <x:v>https://www.hops.hokudai.ac.jp/admission/past-result/</x:v>
      </x:c>
      <x:c r="Y285" s="27" t="str">
        <x:v>公共政策大学院全体の選考区分別公表値。</x:v>
      </x:c>
      <x:c r="Z285" s="47" t="str">
        <x:v>募集人員、受験者数、入学者数は非掲載。</x:v>
      </x:c>
    </x:row>
    <x:row r="286" ht="38" customHeight="1">
      <x:c r="A286" s="2" t="str">
        <x:v>北海道大学</x:v>
      </x:c>
      <x:c r="B286" s="2" t="str">
        <x:v>公共政策大学院（公共政策学教育部）</x:v>
      </x:c>
      <x:c r="C286" s="2" t="str">
        <x:v>公共政策学専攻（大学院全体）</x:v>
      </x:c>
      <x:c r="D286" s="44" t="n">
        <x:v>2023</x:v>
      </x:c>
      <x:c r="E286" s="27" t="str">
        <x:v>年度合計</x:v>
      </x:c>
      <x:c r="F286" s="27" t="str">
        <x:v>専門職学位課程</x:v>
      </x:c>
      <x:c r="G286" s="27" t="str">
        <x:v>社会人特別選考</x:v>
      </x:c>
      <x:c r="H286" s="27" t="str">
        <x:v>研究科合计</x:v>
      </x:c>
      <x:c r="I286" s="44"/>
      <x:c r="J286" s="44" t="n">
        <x:v>11</x:v>
      </x:c>
      <x:c r="K286" s="44"/>
      <x:c r="L286" s="44" t="n">
        <x:v>9</x:v>
      </x:c>
      <x:c r="M286" s="44"/>
      <x:c r="N286" s="45" t="n">
        <x:f>IF(AND(J286&lt;&gt;"",L286&lt;&gt;0),J286/L286,"")</x:f>
        <x:v>1.2222222222222223</x:v>
      </x:c>
      <x:c r="O286" s="45" t="str">
        <x:f>IF(AND(K286&lt;&gt;"",L286&lt;&gt;0),K286/L286,"")</x:f>
      </x:c>
      <x:c r="P286" s="46" t="str">
        <x:f>IF(AND(K286&lt;&gt;"",K286&lt;&gt;0,L286&lt;&gt;""),L286/K286,"")</x:f>
      </x:c>
      <x:c r="Q286" s="46" t="str">
        <x:f>IF(AND(L286&lt;&gt;"",L286&lt;&gt;0,M286&lt;&gt;""),M286/L286,"")</x:f>
      </x:c>
      <x:c r="R286" s="45" t="n">
        <x:f>IF(N286&lt;&gt;"",N286,IF(O286&lt;&gt;"",O286,""))</x:f>
        <x:v>1.2222222222222223</x:v>
      </x:c>
      <x:c r="S286" s="2" t="str">
        <x:f>IF(N286&lt;&gt;"","志愿/合格",IF(O286&lt;&gt;"","受验/合格",""))</x:f>
        <x:v>志愿/合格</x:v>
      </x:c>
      <x:c r="T286" s="2" t="str">
        <x:v>官方</x:v>
      </x:c>
      <x:c r="U286" s="2" t="str">
        <x:v>高</x:v>
      </x:c>
      <x:c r="V286" s="27" t="str">
        <x:v>過去の入試結果 | 北海道大学公共政策大学院</x:v>
      </x:c>
      <x:c r="W286" s="27" t="str">
        <x:v>令和5（2023）年度表／社会人特別選考</x:v>
      </x:c>
      <x:c r="X286" s="27" t="str">
        <x:v>https://www.hops.hokudai.ac.jp/admission/past-result/</x:v>
      </x:c>
      <x:c r="Y286" s="27" t="str">
        <x:v>公共政策大学院全体の選考区分別公表値。</x:v>
      </x:c>
      <x:c r="Z286" s="47" t="str">
        <x:v>募集人員、受験者数、入学者数は非掲載。</x:v>
      </x:c>
    </x:row>
    <x:row r="287" ht="38" customHeight="1">
      <x:c r="A287" s="2" t="str">
        <x:v>北海道大学</x:v>
      </x:c>
      <x:c r="B287" s="2" t="str">
        <x:v>公共政策大学院（公共政策学教育部）</x:v>
      </x:c>
      <x:c r="C287" s="2" t="str">
        <x:v>公共政策学専攻（大学院全体）</x:v>
      </x:c>
      <x:c r="D287" s="44" t="n">
        <x:v>2023</x:v>
      </x:c>
      <x:c r="E287" s="27" t="str">
        <x:v>年度合計</x:v>
      </x:c>
      <x:c r="F287" s="27" t="str">
        <x:v>専門職学位課程</x:v>
      </x:c>
      <x:c r="G287" s="27" t="str">
        <x:v>外国人留学生特別選考</x:v>
      </x:c>
      <x:c r="H287" s="27" t="str">
        <x:v>研究科合计</x:v>
      </x:c>
      <x:c r="I287" s="44"/>
      <x:c r="J287" s="44" t="n">
        <x:v>20</x:v>
      </x:c>
      <x:c r="K287" s="44"/>
      <x:c r="L287" s="44" t="n">
        <x:v>13</x:v>
      </x:c>
      <x:c r="M287" s="44"/>
      <x:c r="N287" s="45" t="n">
        <x:f>IF(AND(J287&lt;&gt;"",L287&lt;&gt;0),J287/L287,"")</x:f>
        <x:v>1.5384615384615385</x:v>
      </x:c>
      <x:c r="O287" s="45" t="str">
        <x:f>IF(AND(K287&lt;&gt;"",L287&lt;&gt;0),K287/L287,"")</x:f>
      </x:c>
      <x:c r="P287" s="46" t="str">
        <x:f>IF(AND(K287&lt;&gt;"",K287&lt;&gt;0,L287&lt;&gt;""),L287/K287,"")</x:f>
      </x:c>
      <x:c r="Q287" s="46" t="str">
        <x:f>IF(AND(L287&lt;&gt;"",L287&lt;&gt;0,M287&lt;&gt;""),M287/L287,"")</x:f>
      </x:c>
      <x:c r="R287" s="45" t="n">
        <x:f>IF(N287&lt;&gt;"",N287,IF(O287&lt;&gt;"",O287,""))</x:f>
        <x:v>1.5384615384615385</x:v>
      </x:c>
      <x:c r="S287" s="2" t="str">
        <x:f>IF(N287&lt;&gt;"","志愿/合格",IF(O287&lt;&gt;"","受验/合格",""))</x:f>
        <x:v>志愿/合格</x:v>
      </x:c>
      <x:c r="T287" s="2" t="str">
        <x:v>官方</x:v>
      </x:c>
      <x:c r="U287" s="2" t="str">
        <x:v>高</x:v>
      </x:c>
      <x:c r="V287" s="27" t="str">
        <x:v>過去の入試結果 | 北海道大学公共政策大学院</x:v>
      </x:c>
      <x:c r="W287" s="27" t="str">
        <x:v>令和5（2023）年度表／外国人留学生特別選考</x:v>
      </x:c>
      <x:c r="X287" s="27" t="str">
        <x:v>https://www.hops.hokudai.ac.jp/admission/past-result/</x:v>
      </x:c>
      <x:c r="Y287" s="27" t="str">
        <x:v>公共政策大学院全体の選考区分別公表値。</x:v>
      </x:c>
      <x:c r="Z287" s="47" t="str">
        <x:v>募集人員、受験者数、入学者数は非掲載。</x:v>
      </x:c>
    </x:row>
    <x:row r="288" ht="38" customHeight="1">
      <x:c r="A288" s="2" t="str">
        <x:v>北海道大学</x:v>
      </x:c>
      <x:c r="B288" s="2" t="str">
        <x:v>公共政策大学院（公共政策学教育部）</x:v>
      </x:c>
      <x:c r="C288" s="2" t="str">
        <x:v>公共政策学専攻（大学院全体）</x:v>
      </x:c>
      <x:c r="D288" s="44" t="n">
        <x:v>2024</x:v>
      </x:c>
      <x:c r="E288" s="27" t="str">
        <x:v>年度合計</x:v>
      </x:c>
      <x:c r="F288" s="27" t="str">
        <x:v>専門職学位課程</x:v>
      </x:c>
      <x:c r="G288" s="27" t="str">
        <x:v>一般選考</x:v>
      </x:c>
      <x:c r="H288" s="27" t="str">
        <x:v>研究科合计</x:v>
      </x:c>
      <x:c r="I288" s="44"/>
      <x:c r="J288" s="44" t="n">
        <x:v>31</x:v>
      </x:c>
      <x:c r="K288" s="44"/>
      <x:c r="L288" s="44" t="n">
        <x:v>8</x:v>
      </x:c>
      <x:c r="M288" s="44"/>
      <x:c r="N288" s="45" t="n">
        <x:f>IF(AND(J288&lt;&gt;"",L288&lt;&gt;0),J288/L288,"")</x:f>
        <x:v>3.875</x:v>
      </x:c>
      <x:c r="O288" s="45" t="str">
        <x:f>IF(AND(K288&lt;&gt;"",L288&lt;&gt;0),K288/L288,"")</x:f>
      </x:c>
      <x:c r="P288" s="46" t="str">
        <x:f>IF(AND(K288&lt;&gt;"",K288&lt;&gt;0,L288&lt;&gt;""),L288/K288,"")</x:f>
      </x:c>
      <x:c r="Q288" s="46" t="str">
        <x:f>IF(AND(L288&lt;&gt;"",L288&lt;&gt;0,M288&lt;&gt;""),M288/L288,"")</x:f>
      </x:c>
      <x:c r="R288" s="45" t="n">
        <x:f>IF(N288&lt;&gt;"",N288,IF(O288&lt;&gt;"",O288,""))</x:f>
        <x:v>3.875</x:v>
      </x:c>
      <x:c r="S288" s="2" t="str">
        <x:f>IF(N288&lt;&gt;"","志愿/合格",IF(O288&lt;&gt;"","受验/合格",""))</x:f>
        <x:v>志愿/合格</x:v>
      </x:c>
      <x:c r="T288" s="2" t="str">
        <x:v>官方</x:v>
      </x:c>
      <x:c r="U288" s="2" t="str">
        <x:v>高</x:v>
      </x:c>
      <x:c r="V288" s="27" t="str">
        <x:v>過去の入試結果 | 北海道大学公共政策大学院</x:v>
      </x:c>
      <x:c r="W288" s="27" t="str">
        <x:v>令和6（2024）年度表／一般選考</x:v>
      </x:c>
      <x:c r="X288" s="27" t="str">
        <x:v>https://www.hops.hokudai.ac.jp/admission/past-result/</x:v>
      </x:c>
      <x:c r="Y288" s="27" t="str">
        <x:v>公共政策大学院全体の選考区分別公表値。</x:v>
      </x:c>
      <x:c r="Z288" s="47" t="str">
        <x:v>募集人員、受験者数、入学者数は非掲載。</x:v>
      </x:c>
    </x:row>
    <x:row r="289" ht="38" customHeight="1">
      <x:c r="A289" s="2" t="str">
        <x:v>北海道大学</x:v>
      </x:c>
      <x:c r="B289" s="2" t="str">
        <x:v>公共政策大学院（公共政策学教育部）</x:v>
      </x:c>
      <x:c r="C289" s="2" t="str">
        <x:v>公共政策学専攻（大学院全体）</x:v>
      </x:c>
      <x:c r="D289" s="44" t="n">
        <x:v>2024</x:v>
      </x:c>
      <x:c r="E289" s="27" t="str">
        <x:v>年度合計</x:v>
      </x:c>
      <x:c r="F289" s="27" t="str">
        <x:v>専門職学位課程</x:v>
      </x:c>
      <x:c r="G289" s="27" t="str">
        <x:v>基準特別選考</x:v>
      </x:c>
      <x:c r="H289" s="27" t="str">
        <x:v>研究科合计</x:v>
      </x:c>
      <x:c r="I289" s="44"/>
      <x:c r="J289" s="44" t="n">
        <x:v>12</x:v>
      </x:c>
      <x:c r="K289" s="44"/>
      <x:c r="L289" s="44" t="n">
        <x:v>9</x:v>
      </x:c>
      <x:c r="M289" s="44"/>
      <x:c r="N289" s="45" t="n">
        <x:f>IF(AND(J289&lt;&gt;"",L289&lt;&gt;0),J289/L289,"")</x:f>
        <x:v>1.3333333333333333</x:v>
      </x:c>
      <x:c r="O289" s="45" t="str">
        <x:f>IF(AND(K289&lt;&gt;"",L289&lt;&gt;0),K289/L289,"")</x:f>
      </x:c>
      <x:c r="P289" s="46" t="str">
        <x:f>IF(AND(K289&lt;&gt;"",K289&lt;&gt;0,L289&lt;&gt;""),L289/K289,"")</x:f>
      </x:c>
      <x:c r="Q289" s="46" t="str">
        <x:f>IF(AND(L289&lt;&gt;"",L289&lt;&gt;0,M289&lt;&gt;""),M289/L289,"")</x:f>
      </x:c>
      <x:c r="R289" s="45" t="n">
        <x:f>IF(N289&lt;&gt;"",N289,IF(O289&lt;&gt;"",O289,""))</x:f>
        <x:v>1.3333333333333333</x:v>
      </x:c>
      <x:c r="S289" s="2" t="str">
        <x:f>IF(N289&lt;&gt;"","志愿/合格",IF(O289&lt;&gt;"","受验/合格",""))</x:f>
        <x:v>志愿/合格</x:v>
      </x:c>
      <x:c r="T289" s="2" t="str">
        <x:v>官方</x:v>
      </x:c>
      <x:c r="U289" s="2" t="str">
        <x:v>高</x:v>
      </x:c>
      <x:c r="V289" s="27" t="str">
        <x:v>過去の入試結果 | 北海道大学公共政策大学院</x:v>
      </x:c>
      <x:c r="W289" s="27" t="str">
        <x:v>令和6（2024）年度表／基準特別選考</x:v>
      </x:c>
      <x:c r="X289" s="27" t="str">
        <x:v>https://www.hops.hokudai.ac.jp/admission/past-result/</x:v>
      </x:c>
      <x:c r="Y289" s="27" t="str">
        <x:v>公共政策大学院全体の選考区分別公表値。</x:v>
      </x:c>
      <x:c r="Z289" s="47" t="str">
        <x:v>募集人員、受験者数、入学者数は非掲載。</x:v>
      </x:c>
    </x:row>
    <x:row r="290" ht="38" customHeight="1">
      <x:c r="A290" s="2" t="str">
        <x:v>北海道大学</x:v>
      </x:c>
      <x:c r="B290" s="2" t="str">
        <x:v>公共政策大学院（公共政策学教育部）</x:v>
      </x:c>
      <x:c r="C290" s="2" t="str">
        <x:v>公共政策学専攻（大学院全体）</x:v>
      </x:c>
      <x:c r="D290" s="44" t="n">
        <x:v>2024</x:v>
      </x:c>
      <x:c r="E290" s="27" t="str">
        <x:v>年度合計</x:v>
      </x:c>
      <x:c r="F290" s="27" t="str">
        <x:v>専門職学位課程</x:v>
      </x:c>
      <x:c r="G290" s="27" t="str">
        <x:v>社会人特別選考</x:v>
      </x:c>
      <x:c r="H290" s="27" t="str">
        <x:v>研究科合计</x:v>
      </x:c>
      <x:c r="I290" s="44"/>
      <x:c r="J290" s="44" t="n">
        <x:v>17</x:v>
      </x:c>
      <x:c r="K290" s="44"/>
      <x:c r="L290" s="44" t="n">
        <x:v>17</x:v>
      </x:c>
      <x:c r="M290" s="44"/>
      <x:c r="N290" s="45" t="n">
        <x:f>IF(AND(J290&lt;&gt;"",L290&lt;&gt;0),J290/L290,"")</x:f>
        <x:v>1</x:v>
      </x:c>
      <x:c r="O290" s="45" t="str">
        <x:f>IF(AND(K290&lt;&gt;"",L290&lt;&gt;0),K290/L290,"")</x:f>
      </x:c>
      <x:c r="P290" s="46" t="str">
        <x:f>IF(AND(K290&lt;&gt;"",K290&lt;&gt;0,L290&lt;&gt;""),L290/K290,"")</x:f>
      </x:c>
      <x:c r="Q290" s="46" t="str">
        <x:f>IF(AND(L290&lt;&gt;"",L290&lt;&gt;0,M290&lt;&gt;""),M290/L290,"")</x:f>
      </x:c>
      <x:c r="R290" s="45" t="n">
        <x:f>IF(N290&lt;&gt;"",N290,IF(O290&lt;&gt;"",O290,""))</x:f>
        <x:v>1</x:v>
      </x:c>
      <x:c r="S290" s="2" t="str">
        <x:f>IF(N290&lt;&gt;"","志愿/合格",IF(O290&lt;&gt;"","受验/合格",""))</x:f>
        <x:v>志愿/合格</x:v>
      </x:c>
      <x:c r="T290" s="2" t="str">
        <x:v>官方</x:v>
      </x:c>
      <x:c r="U290" s="2" t="str">
        <x:v>高</x:v>
      </x:c>
      <x:c r="V290" s="27" t="str">
        <x:v>過去の入試結果 | 北海道大学公共政策大学院</x:v>
      </x:c>
      <x:c r="W290" s="27" t="str">
        <x:v>令和6（2024）年度表／社会人特別選考</x:v>
      </x:c>
      <x:c r="X290" s="27" t="str">
        <x:v>https://www.hops.hokudai.ac.jp/admission/past-result/</x:v>
      </x:c>
      <x:c r="Y290" s="27" t="str">
        <x:v>公共政策大学院全体の選考区分別公表値。</x:v>
      </x:c>
      <x:c r="Z290" s="47" t="str">
        <x:v>募集人員、受験者数、入学者数は非掲載。</x:v>
      </x:c>
    </x:row>
    <x:row r="291" ht="38" customHeight="1">
      <x:c r="A291" s="2" t="str">
        <x:v>北海道大学</x:v>
      </x:c>
      <x:c r="B291" s="2" t="str">
        <x:v>公共政策大学院（公共政策学教育部）</x:v>
      </x:c>
      <x:c r="C291" s="2" t="str">
        <x:v>公共政策学専攻（大学院全体）</x:v>
      </x:c>
      <x:c r="D291" s="44" t="n">
        <x:v>2024</x:v>
      </x:c>
      <x:c r="E291" s="27" t="str">
        <x:v>年度合計</x:v>
      </x:c>
      <x:c r="F291" s="27" t="str">
        <x:v>専門職学位課程</x:v>
      </x:c>
      <x:c r="G291" s="27" t="str">
        <x:v>外国人留学生特別選考</x:v>
      </x:c>
      <x:c r="H291" s="27" t="str">
        <x:v>研究科合计</x:v>
      </x:c>
      <x:c r="I291" s="44"/>
      <x:c r="J291" s="44" t="n">
        <x:v>20</x:v>
      </x:c>
      <x:c r="K291" s="44"/>
      <x:c r="L291" s="44" t="n">
        <x:v>5</x:v>
      </x:c>
      <x:c r="M291" s="44"/>
      <x:c r="N291" s="45" t="n">
        <x:f>IF(AND(J291&lt;&gt;"",L291&lt;&gt;0),J291/L291,"")</x:f>
        <x:v>4</x:v>
      </x:c>
      <x:c r="O291" s="45" t="str">
        <x:f>IF(AND(K291&lt;&gt;"",L291&lt;&gt;0),K291/L291,"")</x:f>
      </x:c>
      <x:c r="P291" s="46" t="str">
        <x:f>IF(AND(K291&lt;&gt;"",K291&lt;&gt;0,L291&lt;&gt;""),L291/K291,"")</x:f>
      </x:c>
      <x:c r="Q291" s="46" t="str">
        <x:f>IF(AND(L291&lt;&gt;"",L291&lt;&gt;0,M291&lt;&gt;""),M291/L291,"")</x:f>
      </x:c>
      <x:c r="R291" s="45" t="n">
        <x:f>IF(N291&lt;&gt;"",N291,IF(O291&lt;&gt;"",O291,""))</x:f>
        <x:v>4</x:v>
      </x:c>
      <x:c r="S291" s="2" t="str">
        <x:f>IF(N291&lt;&gt;"","志愿/合格",IF(O291&lt;&gt;"","受验/合格",""))</x:f>
        <x:v>志愿/合格</x:v>
      </x:c>
      <x:c r="T291" s="2" t="str">
        <x:v>官方</x:v>
      </x:c>
      <x:c r="U291" s="2" t="str">
        <x:v>高</x:v>
      </x:c>
      <x:c r="V291" s="27" t="str">
        <x:v>過去の入試結果 | 北海道大学公共政策大学院</x:v>
      </x:c>
      <x:c r="W291" s="27" t="str">
        <x:v>令和6（2024）年度表／外国人留学生特別選考</x:v>
      </x:c>
      <x:c r="X291" s="27" t="str">
        <x:v>https://www.hops.hokudai.ac.jp/admission/past-result/</x:v>
      </x:c>
      <x:c r="Y291" s="27" t="str">
        <x:v>公共政策大学院全体の選考区分別公表値。</x:v>
      </x:c>
      <x:c r="Z291" s="47" t="str">
        <x:v>募集人員、受験者数、入学者数は非掲載。</x:v>
      </x:c>
    </x:row>
    <x:row r="292" ht="38" customHeight="1">
      <x:c r="A292" s="2" t="str">
        <x:v>北海道大学</x:v>
      </x:c>
      <x:c r="B292" s="2" t="str">
        <x:v>公共政策大学院（公共政策学教育部）</x:v>
      </x:c>
      <x:c r="C292" s="2" t="str">
        <x:v>公共政策学専攻（大学院全体）</x:v>
      </x:c>
      <x:c r="D292" s="44" t="n">
        <x:v>2025</x:v>
      </x:c>
      <x:c r="E292" s="27" t="str">
        <x:v>年度合計</x:v>
      </x:c>
      <x:c r="F292" s="27" t="str">
        <x:v>専門職学位課程</x:v>
      </x:c>
      <x:c r="G292" s="27" t="str">
        <x:v>一般選考</x:v>
      </x:c>
      <x:c r="H292" s="27" t="str">
        <x:v>研究科合计</x:v>
      </x:c>
      <x:c r="I292" s="44"/>
      <x:c r="J292" s="44" t="n">
        <x:v>34</x:v>
      </x:c>
      <x:c r="K292" s="44"/>
      <x:c r="L292" s="44" t="n">
        <x:v>17</x:v>
      </x:c>
      <x:c r="M292" s="44"/>
      <x:c r="N292" s="45" t="n">
        <x:f>IF(AND(J292&lt;&gt;"",L292&lt;&gt;0),J292/L292,"")</x:f>
        <x:v>2</x:v>
      </x:c>
      <x:c r="O292" s="45" t="str">
        <x:f>IF(AND(K292&lt;&gt;"",L292&lt;&gt;0),K292/L292,"")</x:f>
      </x:c>
      <x:c r="P292" s="46" t="str">
        <x:f>IF(AND(K292&lt;&gt;"",K292&lt;&gt;0,L292&lt;&gt;""),L292/K292,"")</x:f>
      </x:c>
      <x:c r="Q292" s="46" t="str">
        <x:f>IF(AND(L292&lt;&gt;"",L292&lt;&gt;0,M292&lt;&gt;""),M292/L292,"")</x:f>
      </x:c>
      <x:c r="R292" s="45" t="n">
        <x:f>IF(N292&lt;&gt;"",N292,IF(O292&lt;&gt;"",O292,""))</x:f>
        <x:v>2</x:v>
      </x:c>
      <x:c r="S292" s="2" t="str">
        <x:f>IF(N292&lt;&gt;"","志愿/合格",IF(O292&lt;&gt;"","受验/合格",""))</x:f>
        <x:v>志愿/合格</x:v>
      </x:c>
      <x:c r="T292" s="2" t="str">
        <x:v>官方</x:v>
      </x:c>
      <x:c r="U292" s="2" t="str">
        <x:v>高</x:v>
      </x:c>
      <x:c r="V292" s="27" t="str">
        <x:v>過去の入試結果 | 北海道大学公共政策大学院</x:v>
      </x:c>
      <x:c r="W292" s="27" t="str">
        <x:v>令和7（2025）年度表／一般選考</x:v>
      </x:c>
      <x:c r="X292" s="27" t="str">
        <x:v>https://www.hops.hokudai.ac.jp/admission/past-result/</x:v>
      </x:c>
      <x:c r="Y292" s="27" t="str">
        <x:v>公共政策大学院全体の選考区分別公表値。</x:v>
      </x:c>
      <x:c r="Z292" s="47" t="str">
        <x:v>募集人員、受験者数、入学者数は非掲載。</x:v>
      </x:c>
    </x:row>
    <x:row r="293" ht="38" customHeight="1">
      <x:c r="A293" s="2" t="str">
        <x:v>北海道大学</x:v>
      </x:c>
      <x:c r="B293" s="2" t="str">
        <x:v>公共政策大学院（公共政策学教育部）</x:v>
      </x:c>
      <x:c r="C293" s="2" t="str">
        <x:v>公共政策学専攻（大学院全体）</x:v>
      </x:c>
      <x:c r="D293" s="44" t="n">
        <x:v>2025</x:v>
      </x:c>
      <x:c r="E293" s="27" t="str">
        <x:v>年度合計</x:v>
      </x:c>
      <x:c r="F293" s="27" t="str">
        <x:v>専門職学位課程</x:v>
      </x:c>
      <x:c r="G293" s="27" t="str">
        <x:v>基準特別選考</x:v>
      </x:c>
      <x:c r="H293" s="27" t="str">
        <x:v>研究科合计</x:v>
      </x:c>
      <x:c r="I293" s="44"/>
      <x:c r="J293" s="44" t="n">
        <x:v>5</x:v>
      </x:c>
      <x:c r="K293" s="44"/>
      <x:c r="L293" s="44" t="n">
        <x:v>5</x:v>
      </x:c>
      <x:c r="M293" s="44"/>
      <x:c r="N293" s="45" t="n">
        <x:f>IF(AND(J293&lt;&gt;"",L293&lt;&gt;0),J293/L293,"")</x:f>
        <x:v>1</x:v>
      </x:c>
      <x:c r="O293" s="45" t="str">
        <x:f>IF(AND(K293&lt;&gt;"",L293&lt;&gt;0),K293/L293,"")</x:f>
      </x:c>
      <x:c r="P293" s="46" t="str">
        <x:f>IF(AND(K293&lt;&gt;"",K293&lt;&gt;0,L293&lt;&gt;""),L293/K293,"")</x:f>
      </x:c>
      <x:c r="Q293" s="46" t="str">
        <x:f>IF(AND(L293&lt;&gt;"",L293&lt;&gt;0,M293&lt;&gt;""),M293/L293,"")</x:f>
      </x:c>
      <x:c r="R293" s="45" t="n">
        <x:f>IF(N293&lt;&gt;"",N293,IF(O293&lt;&gt;"",O293,""))</x:f>
        <x:v>1</x:v>
      </x:c>
      <x:c r="S293" s="2" t="str">
        <x:f>IF(N293&lt;&gt;"","志愿/合格",IF(O293&lt;&gt;"","受验/合格",""))</x:f>
        <x:v>志愿/合格</x:v>
      </x:c>
      <x:c r="T293" s="2" t="str">
        <x:v>官方</x:v>
      </x:c>
      <x:c r="U293" s="2" t="str">
        <x:v>高</x:v>
      </x:c>
      <x:c r="V293" s="27" t="str">
        <x:v>過去の入試結果 | 北海道大学公共政策大学院</x:v>
      </x:c>
      <x:c r="W293" s="27" t="str">
        <x:v>令和7（2025）年度表／基準特別選考</x:v>
      </x:c>
      <x:c r="X293" s="27" t="str">
        <x:v>https://www.hops.hokudai.ac.jp/admission/past-result/</x:v>
      </x:c>
      <x:c r="Y293" s="27" t="str">
        <x:v>公共政策大学院全体の選考区分別公表値。</x:v>
      </x:c>
      <x:c r="Z293" s="47" t="str">
        <x:v>募集人員、受験者数、入学者数は非掲載。</x:v>
      </x:c>
    </x:row>
    <x:row r="294" ht="38" customHeight="1">
      <x:c r="A294" s="2" t="str">
        <x:v>北海道大学</x:v>
      </x:c>
      <x:c r="B294" s="2" t="str">
        <x:v>公共政策大学院（公共政策学教育部）</x:v>
      </x:c>
      <x:c r="C294" s="2" t="str">
        <x:v>公共政策学専攻（大学院全体）</x:v>
      </x:c>
      <x:c r="D294" s="44" t="n">
        <x:v>2025</x:v>
      </x:c>
      <x:c r="E294" s="27" t="str">
        <x:v>年度合計</x:v>
      </x:c>
      <x:c r="F294" s="27" t="str">
        <x:v>専門職学位課程</x:v>
      </x:c>
      <x:c r="G294" s="27" t="str">
        <x:v>社会人特別選考</x:v>
      </x:c>
      <x:c r="H294" s="27" t="str">
        <x:v>研究科合计</x:v>
      </x:c>
      <x:c r="I294" s="44"/>
      <x:c r="J294" s="44" t="n">
        <x:v>19</x:v>
      </x:c>
      <x:c r="K294" s="44"/>
      <x:c r="L294" s="44" t="n">
        <x:v>14</x:v>
      </x:c>
      <x:c r="M294" s="44"/>
      <x:c r="N294" s="45" t="n">
        <x:f>IF(AND(J294&lt;&gt;"",L294&lt;&gt;0),J294/L294,"")</x:f>
        <x:v>1.3571428571428572</x:v>
      </x:c>
      <x:c r="O294" s="45" t="str">
        <x:f>IF(AND(K294&lt;&gt;"",L294&lt;&gt;0),K294/L294,"")</x:f>
      </x:c>
      <x:c r="P294" s="46" t="str">
        <x:f>IF(AND(K294&lt;&gt;"",K294&lt;&gt;0,L294&lt;&gt;""),L294/K294,"")</x:f>
      </x:c>
      <x:c r="Q294" s="46" t="str">
        <x:f>IF(AND(L294&lt;&gt;"",L294&lt;&gt;0,M294&lt;&gt;""),M294/L294,"")</x:f>
      </x:c>
      <x:c r="R294" s="45" t="n">
        <x:f>IF(N294&lt;&gt;"",N294,IF(O294&lt;&gt;"",O294,""))</x:f>
        <x:v>1.3571428571428572</x:v>
      </x:c>
      <x:c r="S294" s="2" t="str">
        <x:f>IF(N294&lt;&gt;"","志愿/合格",IF(O294&lt;&gt;"","受验/合格",""))</x:f>
        <x:v>志愿/合格</x:v>
      </x:c>
      <x:c r="T294" s="2" t="str">
        <x:v>官方</x:v>
      </x:c>
      <x:c r="U294" s="2" t="str">
        <x:v>高</x:v>
      </x:c>
      <x:c r="V294" s="27" t="str">
        <x:v>過去の入試結果 | 北海道大学公共政策大学院</x:v>
      </x:c>
      <x:c r="W294" s="27" t="str">
        <x:v>令和7（2025）年度表／社会人特別選考</x:v>
      </x:c>
      <x:c r="X294" s="27" t="str">
        <x:v>https://www.hops.hokudai.ac.jp/admission/past-result/</x:v>
      </x:c>
      <x:c r="Y294" s="27" t="str">
        <x:v>公共政策大学院全体の選考区分別公表値。</x:v>
      </x:c>
      <x:c r="Z294" s="47" t="str">
        <x:v>募集人員、受験者数、入学者数は非掲載。</x:v>
      </x:c>
    </x:row>
    <x:row r="295" ht="38" customHeight="1">
      <x:c r="A295" s="2" t="str">
        <x:v>北海道大学</x:v>
      </x:c>
      <x:c r="B295" s="2" t="str">
        <x:v>公共政策大学院（公共政策学教育部）</x:v>
      </x:c>
      <x:c r="C295" s="2" t="str">
        <x:v>公共政策学専攻（大学院全体）</x:v>
      </x:c>
      <x:c r="D295" s="44" t="n">
        <x:v>2025</x:v>
      </x:c>
      <x:c r="E295" s="27" t="str">
        <x:v>年度合計</x:v>
      </x:c>
      <x:c r="F295" s="27" t="str">
        <x:v>専門職学位課程</x:v>
      </x:c>
      <x:c r="G295" s="27" t="str">
        <x:v>外国人留学生特別選考</x:v>
      </x:c>
      <x:c r="H295" s="27" t="str">
        <x:v>研究科合计</x:v>
      </x:c>
      <x:c r="I295" s="44"/>
      <x:c r="J295" s="44" t="n">
        <x:v>19</x:v>
      </x:c>
      <x:c r="K295" s="44"/>
      <x:c r="L295" s="44" t="n">
        <x:v>8</x:v>
      </x:c>
      <x:c r="M295" s="44"/>
      <x:c r="N295" s="45" t="n">
        <x:f>IF(AND(J295&lt;&gt;"",L295&lt;&gt;0),J295/L295,"")</x:f>
        <x:v>2.375</x:v>
      </x:c>
      <x:c r="O295" s="45" t="str">
        <x:f>IF(AND(K295&lt;&gt;"",L295&lt;&gt;0),K295/L295,"")</x:f>
      </x:c>
      <x:c r="P295" s="46" t="str">
        <x:f>IF(AND(K295&lt;&gt;"",K295&lt;&gt;0,L295&lt;&gt;""),L295/K295,"")</x:f>
      </x:c>
      <x:c r="Q295" s="46" t="str">
        <x:f>IF(AND(L295&lt;&gt;"",L295&lt;&gt;0,M295&lt;&gt;""),M295/L295,"")</x:f>
      </x:c>
      <x:c r="R295" s="45" t="n">
        <x:f>IF(N295&lt;&gt;"",N295,IF(O295&lt;&gt;"",O295,""))</x:f>
        <x:v>2.375</x:v>
      </x:c>
      <x:c r="S295" s="2" t="str">
        <x:f>IF(N295&lt;&gt;"","志愿/合格",IF(O295&lt;&gt;"","受验/合格",""))</x:f>
        <x:v>志愿/合格</x:v>
      </x:c>
      <x:c r="T295" s="2" t="str">
        <x:v>官方</x:v>
      </x:c>
      <x:c r="U295" s="2" t="str">
        <x:v>高</x:v>
      </x:c>
      <x:c r="V295" s="27" t="str">
        <x:v>過去の入試結果 | 北海道大学公共政策大学院</x:v>
      </x:c>
      <x:c r="W295" s="27" t="str">
        <x:v>令和7（2025）年度表／外国人留学生特別選考</x:v>
      </x:c>
      <x:c r="X295" s="27" t="str">
        <x:v>https://www.hops.hokudai.ac.jp/admission/past-result/</x:v>
      </x:c>
      <x:c r="Y295" s="27" t="str">
        <x:v>公共政策大学院全体の選考区分別公表値。</x:v>
      </x:c>
      <x:c r="Z295" s="47" t="str">
        <x:v>募集人員、受験者数、入学者数は非掲載。</x:v>
      </x:c>
    </x:row>
    <x:row r="296" ht="38" customHeight="1">
      <x:c r="A296" s="2" t="str">
        <x:v>北海道大学</x:v>
      </x:c>
      <x:c r="B296" s="2" t="str">
        <x:v>公共政策大学院（公共政策学教育部）</x:v>
      </x:c>
      <x:c r="C296" s="2" t="str">
        <x:v>公共政策学専攻（大学院全体）</x:v>
      </x:c>
      <x:c r="D296" s="44" t="n">
        <x:v>2026</x:v>
      </x:c>
      <x:c r="E296" s="27" t="str">
        <x:v>年度合計</x:v>
      </x:c>
      <x:c r="F296" s="27" t="str">
        <x:v>専門職学位課程</x:v>
      </x:c>
      <x:c r="G296" s="27" t="str">
        <x:v>一般選考</x:v>
      </x:c>
      <x:c r="H296" s="27" t="str">
        <x:v>研究科合计</x:v>
      </x:c>
      <x:c r="I296" s="44"/>
      <x:c r="J296" s="44" t="n">
        <x:v>17</x:v>
      </x:c>
      <x:c r="K296" s="44"/>
      <x:c r="L296" s="44" t="n">
        <x:v>9</x:v>
      </x:c>
      <x:c r="M296" s="44"/>
      <x:c r="N296" s="45" t="n">
        <x:f>IF(AND(J296&lt;&gt;"",L296&lt;&gt;0),J296/L296,"")</x:f>
        <x:v>1.8888888888888888</x:v>
      </x:c>
      <x:c r="O296" s="45" t="str">
        <x:f>IF(AND(K296&lt;&gt;"",L296&lt;&gt;0),K296/L296,"")</x:f>
      </x:c>
      <x:c r="P296" s="46" t="str">
        <x:f>IF(AND(K296&lt;&gt;"",K296&lt;&gt;0,L296&lt;&gt;""),L296/K296,"")</x:f>
      </x:c>
      <x:c r="Q296" s="46" t="str">
        <x:f>IF(AND(L296&lt;&gt;"",L296&lt;&gt;0,M296&lt;&gt;""),M296/L296,"")</x:f>
      </x:c>
      <x:c r="R296" s="45" t="n">
        <x:f>IF(N296&lt;&gt;"",N296,IF(O296&lt;&gt;"",O296,""))</x:f>
        <x:v>1.8888888888888888</x:v>
      </x:c>
      <x:c r="S296" s="2" t="str">
        <x:f>IF(N296&lt;&gt;"","志愿/合格",IF(O296&lt;&gt;"","受验/合格",""))</x:f>
        <x:v>志愿/合格</x:v>
      </x:c>
      <x:c r="T296" s="2" t="str">
        <x:v>官方</x:v>
      </x:c>
      <x:c r="U296" s="2" t="str">
        <x:v>高</x:v>
      </x:c>
      <x:c r="V296" s="27" t="str">
        <x:v>過去の入試結果 | 北海道大学公共政策大学院</x:v>
      </x:c>
      <x:c r="W296" s="27" t="str">
        <x:v>令和8（2026）年度表／一般選考</x:v>
      </x:c>
      <x:c r="X296" s="27" t="str">
        <x:v>https://www.hops.hokudai.ac.jp/admission/past-result/</x:v>
      </x:c>
      <x:c r="Y296" s="27" t="str">
        <x:v>公共政策大学院全体の選考区分別公表値。</x:v>
      </x:c>
      <x:c r="Z296" s="47" t="str">
        <x:v>募集人員、受験者数、入学者数は非掲載。</x:v>
      </x:c>
    </x:row>
    <x:row r="297" ht="38" customHeight="1">
      <x:c r="A297" s="2" t="str">
        <x:v>北海道大学</x:v>
      </x:c>
      <x:c r="B297" s="2" t="str">
        <x:v>公共政策大学院（公共政策学教育部）</x:v>
      </x:c>
      <x:c r="C297" s="2" t="str">
        <x:v>公共政策学専攻（大学院全体）</x:v>
      </x:c>
      <x:c r="D297" s="44" t="n">
        <x:v>2026</x:v>
      </x:c>
      <x:c r="E297" s="27" t="str">
        <x:v>年度合計</x:v>
      </x:c>
      <x:c r="F297" s="27" t="str">
        <x:v>専門職学位課程</x:v>
      </x:c>
      <x:c r="G297" s="27" t="str">
        <x:v>基準特別選考</x:v>
      </x:c>
      <x:c r="H297" s="27" t="str">
        <x:v>研究科合计</x:v>
      </x:c>
      <x:c r="I297" s="44"/>
      <x:c r="J297" s="44" t="n">
        <x:v>9</x:v>
      </x:c>
      <x:c r="K297" s="44"/>
      <x:c r="L297" s="44" t="n">
        <x:v>9</x:v>
      </x:c>
      <x:c r="M297" s="44"/>
      <x:c r="N297" s="45" t="n">
        <x:f>IF(AND(J297&lt;&gt;"",L297&lt;&gt;0),J297/L297,"")</x:f>
        <x:v>1</x:v>
      </x:c>
      <x:c r="O297" s="45" t="str">
        <x:f>IF(AND(K297&lt;&gt;"",L297&lt;&gt;0),K297/L297,"")</x:f>
      </x:c>
      <x:c r="P297" s="46" t="str">
        <x:f>IF(AND(K297&lt;&gt;"",K297&lt;&gt;0,L297&lt;&gt;""),L297/K297,"")</x:f>
      </x:c>
      <x:c r="Q297" s="46" t="str">
        <x:f>IF(AND(L297&lt;&gt;"",L297&lt;&gt;0,M297&lt;&gt;""),M297/L297,"")</x:f>
      </x:c>
      <x:c r="R297" s="45" t="n">
        <x:f>IF(N297&lt;&gt;"",N297,IF(O297&lt;&gt;"",O297,""))</x:f>
        <x:v>1</x:v>
      </x:c>
      <x:c r="S297" s="2" t="str">
        <x:f>IF(N297&lt;&gt;"","志愿/合格",IF(O297&lt;&gt;"","受验/合格",""))</x:f>
        <x:v>志愿/合格</x:v>
      </x:c>
      <x:c r="T297" s="2" t="str">
        <x:v>官方</x:v>
      </x:c>
      <x:c r="U297" s="2" t="str">
        <x:v>高</x:v>
      </x:c>
      <x:c r="V297" s="27" t="str">
        <x:v>過去の入試結果 | 北海道大学公共政策大学院</x:v>
      </x:c>
      <x:c r="W297" s="27" t="str">
        <x:v>令和8（2026）年度表／基準特別選考</x:v>
      </x:c>
      <x:c r="X297" s="27" t="str">
        <x:v>https://www.hops.hokudai.ac.jp/admission/past-result/</x:v>
      </x:c>
      <x:c r="Y297" s="27" t="str">
        <x:v>公共政策大学院全体の選考区分別公表値。</x:v>
      </x:c>
      <x:c r="Z297" s="47" t="str">
        <x:v>募集人員、受験者数、入学者数は非掲載。</x:v>
      </x:c>
    </x:row>
    <x:row r="298" ht="38" customHeight="1">
      <x:c r="A298" s="2" t="str">
        <x:v>北海道大学</x:v>
      </x:c>
      <x:c r="B298" s="2" t="str">
        <x:v>公共政策大学院（公共政策学教育部）</x:v>
      </x:c>
      <x:c r="C298" s="2" t="str">
        <x:v>公共政策学専攻（大学院全体）</x:v>
      </x:c>
      <x:c r="D298" s="44" t="n">
        <x:v>2026</x:v>
      </x:c>
      <x:c r="E298" s="27" t="str">
        <x:v>年度合計</x:v>
      </x:c>
      <x:c r="F298" s="27" t="str">
        <x:v>専門職学位課程</x:v>
      </x:c>
      <x:c r="G298" s="27" t="str">
        <x:v>社会人特別選考</x:v>
      </x:c>
      <x:c r="H298" s="27" t="str">
        <x:v>研究科合计</x:v>
      </x:c>
      <x:c r="I298" s="44"/>
      <x:c r="J298" s="44" t="n">
        <x:v>19</x:v>
      </x:c>
      <x:c r="K298" s="44"/>
      <x:c r="L298" s="44" t="n">
        <x:v>12</x:v>
      </x:c>
      <x:c r="M298" s="44"/>
      <x:c r="N298" s="45" t="n">
        <x:f>IF(AND(J298&lt;&gt;"",L298&lt;&gt;0),J298/L298,"")</x:f>
        <x:v>1.5833333333333333</x:v>
      </x:c>
      <x:c r="O298" s="45" t="str">
        <x:f>IF(AND(K298&lt;&gt;"",L298&lt;&gt;0),K298/L298,"")</x:f>
      </x:c>
      <x:c r="P298" s="46" t="str">
        <x:f>IF(AND(K298&lt;&gt;"",K298&lt;&gt;0,L298&lt;&gt;""),L298/K298,"")</x:f>
      </x:c>
      <x:c r="Q298" s="46" t="str">
        <x:f>IF(AND(L298&lt;&gt;"",L298&lt;&gt;0,M298&lt;&gt;""),M298/L298,"")</x:f>
      </x:c>
      <x:c r="R298" s="45" t="n">
        <x:f>IF(N298&lt;&gt;"",N298,IF(O298&lt;&gt;"",O298,""))</x:f>
        <x:v>1.5833333333333333</x:v>
      </x:c>
      <x:c r="S298" s="2" t="str">
        <x:f>IF(N298&lt;&gt;"","志愿/合格",IF(O298&lt;&gt;"","受验/合格",""))</x:f>
        <x:v>志愿/合格</x:v>
      </x:c>
      <x:c r="T298" s="2" t="str">
        <x:v>官方</x:v>
      </x:c>
      <x:c r="U298" s="2" t="str">
        <x:v>高</x:v>
      </x:c>
      <x:c r="V298" s="27" t="str">
        <x:v>過去の入試結果 | 北海道大学公共政策大学院</x:v>
      </x:c>
      <x:c r="W298" s="27" t="str">
        <x:v>令和8（2026）年度表／社会人特別選考</x:v>
      </x:c>
      <x:c r="X298" s="27" t="str">
        <x:v>https://www.hops.hokudai.ac.jp/admission/past-result/</x:v>
      </x:c>
      <x:c r="Y298" s="27" t="str">
        <x:v>公共政策大学院全体の選考区分別公表値。</x:v>
      </x:c>
      <x:c r="Z298" s="47" t="str">
        <x:v>募集人員、受験者数、入学者数は非掲載。</x:v>
      </x:c>
    </x:row>
    <x:row r="299" ht="38" customHeight="1">
      <x:c r="A299" s="2" t="str">
        <x:v>北海道大学</x:v>
      </x:c>
      <x:c r="B299" s="2" t="str">
        <x:v>公共政策大学院（公共政策学教育部）</x:v>
      </x:c>
      <x:c r="C299" s="2" t="str">
        <x:v>公共政策学専攻（大学院全体）</x:v>
      </x:c>
      <x:c r="D299" s="44" t="n">
        <x:v>2026</x:v>
      </x:c>
      <x:c r="E299" s="27" t="str">
        <x:v>年度合計</x:v>
      </x:c>
      <x:c r="F299" s="27" t="str">
        <x:v>専門職学位課程</x:v>
      </x:c>
      <x:c r="G299" s="27" t="str">
        <x:v>外国人留学生特別選考</x:v>
      </x:c>
      <x:c r="H299" s="27" t="str">
        <x:v>研究科合计</x:v>
      </x:c>
      <x:c r="I299" s="44"/>
      <x:c r="J299" s="44" t="n">
        <x:v>23</x:v>
      </x:c>
      <x:c r="K299" s="44"/>
      <x:c r="L299" s="44" t="n">
        <x:v>4</x:v>
      </x:c>
      <x:c r="M299" s="44"/>
      <x:c r="N299" s="45" t="n">
        <x:f>IF(AND(J299&lt;&gt;"",L299&lt;&gt;0),J299/L299,"")</x:f>
        <x:v>5.75</x:v>
      </x:c>
      <x:c r="O299" s="45" t="str">
        <x:f>IF(AND(K299&lt;&gt;"",L299&lt;&gt;0),K299/L299,"")</x:f>
      </x:c>
      <x:c r="P299" s="46" t="str">
        <x:f>IF(AND(K299&lt;&gt;"",K299&lt;&gt;0,L299&lt;&gt;""),L299/K299,"")</x:f>
      </x:c>
      <x:c r="Q299" s="46" t="str">
        <x:f>IF(AND(L299&lt;&gt;"",L299&lt;&gt;0,M299&lt;&gt;""),M299/L299,"")</x:f>
      </x:c>
      <x:c r="R299" s="45" t="n">
        <x:f>IF(N299&lt;&gt;"",N299,IF(O299&lt;&gt;"",O299,""))</x:f>
        <x:v>5.75</x:v>
      </x:c>
      <x:c r="S299" s="2" t="str">
        <x:f>IF(N299&lt;&gt;"","志愿/合格",IF(O299&lt;&gt;"","受验/合格",""))</x:f>
        <x:v>志愿/合格</x:v>
      </x:c>
      <x:c r="T299" s="2" t="str">
        <x:v>官方</x:v>
      </x:c>
      <x:c r="U299" s="2" t="str">
        <x:v>高</x:v>
      </x:c>
      <x:c r="V299" s="27" t="str">
        <x:v>過去の入試結果 | 北海道大学公共政策大学院</x:v>
      </x:c>
      <x:c r="W299" s="27" t="str">
        <x:v>令和8（2026）年度表／外国人留学生特別選考</x:v>
      </x:c>
      <x:c r="X299" s="27" t="str">
        <x:v>https://www.hops.hokudai.ac.jp/admission/past-result/</x:v>
      </x:c>
      <x:c r="Y299" s="27" t="str">
        <x:v>公共政策大学院全体の選考区分別公表値。</x:v>
      </x:c>
      <x:c r="Z299" s="47" t="str">
        <x:v>募集人員、受験者数、入学者数は非掲載。</x:v>
      </x:c>
    </x:row>
    <x:row r="300" ht="38" customHeight="1">
      <x:c r="A300" s="2" t="str">
        <x:v>北海道大学</x:v>
      </x:c>
      <x:c r="B300" s="2" t="str">
        <x:v>情報科学院</x:v>
      </x:c>
      <x:c r="C300" s="2" t="str">
        <x:v>情報科学専攻（5コース合計）</x:v>
      </x:c>
      <x:c r="D300" s="44" t="n">
        <x:v>2024</x:v>
      </x:c>
      <x:c r="E300" s="27" t="str">
        <x:v>第2次（2024年2月実施）</x:v>
      </x:c>
      <x:c r="F300" s="27" t="str">
        <x:v>修士課程</x:v>
      </x:c>
      <x:c r="G300" s="27" t="str">
        <x:v>入学試験実施結果</x:v>
      </x:c>
      <x:c r="H300" s="27" t="str">
        <x:v>专攻/系</x:v>
      </x:c>
      <x:c r="I300" s="44" t="n">
        <x:v>196</x:v>
      </x:c>
      <x:c r="J300" s="44" t="n">
        <x:v>25</x:v>
      </x:c>
      <x:c r="K300" s="44"/>
      <x:c r="L300" s="44" t="n">
        <x:v>16</x:v>
      </x:c>
      <x:c r="M300" s="44"/>
      <x:c r="N300" s="45" t="n">
        <x:f>IF(AND(J300&lt;&gt;"",L300&lt;&gt;0),J300/L300,"")</x:f>
        <x:v>1.5625</x:v>
      </x:c>
      <x:c r="O300" s="45" t="str">
        <x:f>IF(AND(K300&lt;&gt;"",L300&lt;&gt;0),K300/L300,"")</x:f>
      </x:c>
      <x:c r="P300" s="46" t="str">
        <x:f>IF(AND(K300&lt;&gt;"",K300&lt;&gt;0,L300&lt;&gt;""),L300/K300,"")</x:f>
      </x:c>
      <x:c r="Q300" s="46" t="str">
        <x:f>IF(AND(L300&lt;&gt;"",L300&lt;&gt;0,M300&lt;&gt;""),M300/L300,"")</x:f>
      </x:c>
      <x:c r="R300" s="45" t="n">
        <x:f>IF(N300&lt;&gt;"",N300,IF(O300&lt;&gt;"",O300,""))</x:f>
        <x:v>1.5625</x:v>
      </x:c>
      <x:c r="S300" s="2" t="str">
        <x:f>IF(N300&lt;&gt;"","志愿/合格",IF(O300&lt;&gt;"","受验/合格",""))</x:f>
        <x:v>志愿/合格</x:v>
      </x:c>
      <x:c r="T300" s="2" t="str">
        <x:v>官方</x:v>
      </x:c>
      <x:c r="U300" s="2" t="str">
        <x:v>高</x:v>
      </x:c>
      <x:c r="V300" s="27" t="str">
        <x:v>大学院情報科学院入学試験実施</x:v>
      </x:c>
      <x:c r="W300" s="27" t="str">
        <x:v>本文「令和年度4月入学者 合格者数」／修士課程・情報科学行</x:v>
      </x:c>
      <x:c r="X300" s="27" t="str">
        <x:v>https://www.ist.hokudai.ac.jp/news/n2402.html</x:v>
      </x:c>
      <x:c r="Y300" s="27" t="str">
        <x:v>情報科学専攻全体。项目所列5课程未单独公布。</x:v>
      </x:c>
      <x:c r="Z300" s="47" t="str">
        <x:v>定员196人为专攻年度定员，并非该期单独名额；受験者数・入学者数は非掲載。括号内等的内数不另行展开。</x:v>
      </x:c>
    </x:row>
    <x:row r="301" ht="38" customHeight="1">
      <x:c r="A301" s="2" t="str">
        <x:v>北海道大学</x:v>
      </x:c>
      <x:c r="B301" s="2" t="str">
        <x:v>情報科学院</x:v>
      </x:c>
      <x:c r="C301" s="2" t="str">
        <x:v>情報科学専攻（5コース合計）</x:v>
      </x:c>
      <x:c r="D301" s="44" t="n">
        <x:v>2025</x:v>
      </x:c>
      <x:c r="E301" s="27" t="str">
        <x:v>第1次（2024年8月実施）</x:v>
      </x:c>
      <x:c r="F301" s="27" t="str">
        <x:v>修士課程</x:v>
      </x:c>
      <x:c r="G301" s="27" t="str">
        <x:v>入学試験実施結果</x:v>
      </x:c>
      <x:c r="H301" s="27" t="str">
        <x:v>专攻/系</x:v>
      </x:c>
      <x:c r="I301" s="44" t="n">
        <x:v>196</x:v>
      </x:c>
      <x:c r="J301" s="44" t="n">
        <x:v>233</x:v>
      </x:c>
      <x:c r="K301" s="44"/>
      <x:c r="L301" s="44" t="n">
        <x:v>210</x:v>
      </x:c>
      <x:c r="M301" s="44"/>
      <x:c r="N301" s="45" t="n">
        <x:f>IF(AND(J301&lt;&gt;"",L301&lt;&gt;0),J301/L301,"")</x:f>
        <x:v>1.1095238095238096</x:v>
      </x:c>
      <x:c r="O301" s="45" t="str">
        <x:f>IF(AND(K301&lt;&gt;"",L301&lt;&gt;0),K301/L301,"")</x:f>
      </x:c>
      <x:c r="P301" s="46" t="str">
        <x:f>IF(AND(K301&lt;&gt;"",K301&lt;&gt;0,L301&lt;&gt;""),L301/K301,"")</x:f>
      </x:c>
      <x:c r="Q301" s="46" t="str">
        <x:f>IF(AND(L301&lt;&gt;"",L301&lt;&gt;0,M301&lt;&gt;""),M301/L301,"")</x:f>
      </x:c>
      <x:c r="R301" s="45" t="n">
        <x:f>IF(N301&lt;&gt;"",N301,IF(O301&lt;&gt;"",O301,""))</x:f>
        <x:v>1.1095238095238096</x:v>
      </x:c>
      <x:c r="S301" s="2" t="str">
        <x:f>IF(N301&lt;&gt;"","志愿/合格",IF(O301&lt;&gt;"","受验/合格",""))</x:f>
        <x:v>志愿/合格</x:v>
      </x:c>
      <x:c r="T301" s="2" t="str">
        <x:v>官方</x:v>
      </x:c>
      <x:c r="U301" s="2" t="str">
        <x:v>高</x:v>
      </x:c>
      <x:c r="V301" s="27" t="str">
        <x:v>大学院情報科学院入学試験実施</x:v>
      </x:c>
      <x:c r="W301" s="27" t="str">
        <x:v>本文「令和年度4月入学者 合格者数」／修士課程・情報科学行</x:v>
      </x:c>
      <x:c r="X301" s="27" t="str">
        <x:v>https://www.ist.hokudai.ac.jp/news/n2408.html</x:v>
      </x:c>
      <x:c r="Y301" s="27" t="str">
        <x:v>情報科学専攻全体。项目所列5课程未单独公布。</x:v>
      </x:c>
      <x:c r="Z301" s="47" t="str">
        <x:v>定员196人为专攻年度定员，并非该期单独名额；受験者数・入学者数は非掲載。括号内等的内数不另行展开。</x:v>
      </x:c>
    </x:row>
    <x:row r="302" ht="38" customHeight="1">
      <x:c r="A302" s="2" t="str">
        <x:v>北海道大学</x:v>
      </x:c>
      <x:c r="B302" s="2" t="str">
        <x:v>情報科学院</x:v>
      </x:c>
      <x:c r="C302" s="2" t="str">
        <x:v>情報科学専攻（5コース合計）</x:v>
      </x:c>
      <x:c r="D302" s="44" t="n">
        <x:v>2025</x:v>
      </x:c>
      <x:c r="E302" s="27" t="str">
        <x:v>第2次（2025年2月実施）</x:v>
      </x:c>
      <x:c r="F302" s="27" t="str">
        <x:v>修士課程</x:v>
      </x:c>
      <x:c r="G302" s="27" t="str">
        <x:v>入学試験実施結果</x:v>
      </x:c>
      <x:c r="H302" s="27" t="str">
        <x:v>专攻/系</x:v>
      </x:c>
      <x:c r="I302" s="44" t="n">
        <x:v>196</x:v>
      </x:c>
      <x:c r="J302" s="44" t="n">
        <x:v>13</x:v>
      </x:c>
      <x:c r="K302" s="44"/>
      <x:c r="L302" s="44" t="n">
        <x:v>10</x:v>
      </x:c>
      <x:c r="M302" s="44"/>
      <x:c r="N302" s="45" t="n">
        <x:f>IF(AND(J302&lt;&gt;"",L302&lt;&gt;0),J302/L302,"")</x:f>
        <x:v>1.3</x:v>
      </x:c>
      <x:c r="O302" s="45" t="str">
        <x:f>IF(AND(K302&lt;&gt;"",L302&lt;&gt;0),K302/L302,"")</x:f>
      </x:c>
      <x:c r="P302" s="46" t="str">
        <x:f>IF(AND(K302&lt;&gt;"",K302&lt;&gt;0,L302&lt;&gt;""),L302/K302,"")</x:f>
      </x:c>
      <x:c r="Q302" s="46" t="str">
        <x:f>IF(AND(L302&lt;&gt;"",L302&lt;&gt;0,M302&lt;&gt;""),M302/L302,"")</x:f>
      </x:c>
      <x:c r="R302" s="45" t="n">
        <x:f>IF(N302&lt;&gt;"",N302,IF(O302&lt;&gt;"",O302,""))</x:f>
        <x:v>1.3</x:v>
      </x:c>
      <x:c r="S302" s="2" t="str">
        <x:f>IF(N302&lt;&gt;"","志愿/合格",IF(O302&lt;&gt;"","受验/合格",""))</x:f>
        <x:v>志愿/合格</x:v>
      </x:c>
      <x:c r="T302" s="2" t="str">
        <x:v>官方</x:v>
      </x:c>
      <x:c r="U302" s="2" t="str">
        <x:v>高</x:v>
      </x:c>
      <x:c r="V302" s="27" t="str">
        <x:v>大学院情報科学院入学試験実施</x:v>
      </x:c>
      <x:c r="W302" s="27" t="str">
        <x:v>本文「令和年度4月入学者 合格者数」／修士課程・情報科学行</x:v>
      </x:c>
      <x:c r="X302" s="27" t="str">
        <x:v>https://www.ist.hokudai.ac.jp/news/n2503.html</x:v>
      </x:c>
      <x:c r="Y302" s="27" t="str">
        <x:v>情報科学専攻全体。项目所列5课程未单独公布。</x:v>
      </x:c>
      <x:c r="Z302" s="47" t="str">
        <x:v>定员196人为专攻年度定员，并非该期单独名额；受験者数・入学者数は非掲載。括号内等的内数不另行展开。</x:v>
      </x:c>
    </x:row>
    <x:row r="303" ht="38" customHeight="1">
      <x:c r="A303" s="2" t="str">
        <x:v>北海道大学</x:v>
      </x:c>
      <x:c r="B303" s="2" t="str">
        <x:v>情報科学院</x:v>
      </x:c>
      <x:c r="C303" s="2" t="str">
        <x:v>情報科学専攻（5コース合計）</x:v>
      </x:c>
      <x:c r="D303" s="44" t="n">
        <x:v>2026</x:v>
      </x:c>
      <x:c r="E303" s="27" t="str">
        <x:v>第1次（2025年8月実施）</x:v>
      </x:c>
      <x:c r="F303" s="27" t="str">
        <x:v>修士課程</x:v>
      </x:c>
      <x:c r="G303" s="27" t="str">
        <x:v>入学試験実施結果</x:v>
      </x:c>
      <x:c r="H303" s="27" t="str">
        <x:v>专攻/系</x:v>
      </x:c>
      <x:c r="I303" s="44" t="n">
        <x:v>196</x:v>
      </x:c>
      <x:c r="J303" s="44" t="n">
        <x:v>226</x:v>
      </x:c>
      <x:c r="K303" s="44"/>
      <x:c r="L303" s="44" t="n">
        <x:v>194</x:v>
      </x:c>
      <x:c r="M303" s="44"/>
      <x:c r="N303" s="45" t="n">
        <x:f>IF(AND(J303&lt;&gt;"",L303&lt;&gt;0),J303/L303,"")</x:f>
        <x:v>1.1649484536082475</x:v>
      </x:c>
      <x:c r="O303" s="45" t="str">
        <x:f>IF(AND(K303&lt;&gt;"",L303&lt;&gt;0),K303/L303,"")</x:f>
      </x:c>
      <x:c r="P303" s="46" t="str">
        <x:f>IF(AND(K303&lt;&gt;"",K303&lt;&gt;0,L303&lt;&gt;""),L303/K303,"")</x:f>
      </x:c>
      <x:c r="Q303" s="46" t="str">
        <x:f>IF(AND(L303&lt;&gt;"",L303&lt;&gt;0,M303&lt;&gt;""),M303/L303,"")</x:f>
      </x:c>
      <x:c r="R303" s="45" t="n">
        <x:f>IF(N303&lt;&gt;"",N303,IF(O303&lt;&gt;"",O303,""))</x:f>
        <x:v>1.1649484536082475</x:v>
      </x:c>
      <x:c r="S303" s="2" t="str">
        <x:f>IF(N303&lt;&gt;"","志愿/合格",IF(O303&lt;&gt;"","受验/合格",""))</x:f>
        <x:v>志愿/合格</x:v>
      </x:c>
      <x:c r="T303" s="2" t="str">
        <x:v>官方</x:v>
      </x:c>
      <x:c r="U303" s="2" t="str">
        <x:v>高</x:v>
      </x:c>
      <x:c r="V303" s="27" t="str">
        <x:v>大学院情報科学院入学試験実施</x:v>
      </x:c>
      <x:c r="W303" s="27" t="str">
        <x:v>本文「令和年度4月入学者 合格者数」／修士課程・情報科学行</x:v>
      </x:c>
      <x:c r="X303" s="27" t="str">
        <x:v>https://www.ist.hokudai.ac.jp/news/n2509.html</x:v>
      </x:c>
      <x:c r="Y303" s="27" t="str">
        <x:v>情報科学専攻全体。项目所列5课程未单独公布。</x:v>
      </x:c>
      <x:c r="Z303" s="47" t="str">
        <x:v>定员196人为专攻年度定员，并非该期单独名额；受験者数・入学者数は非掲載。括号内等的内数不另行展开。</x:v>
      </x:c>
    </x:row>
    <x:row r="304" ht="38" customHeight="1">
      <x:c r="A304" s="2" t="str">
        <x:v>北海道大学</x:v>
      </x:c>
      <x:c r="B304" s="2" t="str">
        <x:v>情報科学院</x:v>
      </x:c>
      <x:c r="C304" s="2" t="str">
        <x:v>情報科学専攻（5コース合計）</x:v>
      </x:c>
      <x:c r="D304" s="44" t="n">
        <x:v>2026</x:v>
      </x:c>
      <x:c r="E304" s="27" t="str">
        <x:v>第2次（2026年2月実施）</x:v>
      </x:c>
      <x:c r="F304" s="27" t="str">
        <x:v>修士課程</x:v>
      </x:c>
      <x:c r="G304" s="27" t="str">
        <x:v>入学試験実施結果</x:v>
      </x:c>
      <x:c r="H304" s="27" t="str">
        <x:v>专攻/系</x:v>
      </x:c>
      <x:c r="I304" s="44" t="n">
        <x:v>196</x:v>
      </x:c>
      <x:c r="J304" s="44" t="n">
        <x:v>30</x:v>
      </x:c>
      <x:c r="K304" s="44"/>
      <x:c r="L304" s="44" t="n">
        <x:v>19</x:v>
      </x:c>
      <x:c r="M304" s="44"/>
      <x:c r="N304" s="45" t="n">
        <x:f>IF(AND(J304&lt;&gt;"",L304&lt;&gt;0),J304/L304,"")</x:f>
        <x:v>1.5789473684210527</x:v>
      </x:c>
      <x:c r="O304" s="45" t="str">
        <x:f>IF(AND(K304&lt;&gt;"",L304&lt;&gt;0),K304/L304,"")</x:f>
      </x:c>
      <x:c r="P304" s="46" t="str">
        <x:f>IF(AND(K304&lt;&gt;"",K304&lt;&gt;0,L304&lt;&gt;""),L304/K304,"")</x:f>
      </x:c>
      <x:c r="Q304" s="46" t="str">
        <x:f>IF(AND(L304&lt;&gt;"",L304&lt;&gt;0,M304&lt;&gt;""),M304/L304,"")</x:f>
      </x:c>
      <x:c r="R304" s="45" t="n">
        <x:f>IF(N304&lt;&gt;"",N304,IF(O304&lt;&gt;"",O304,""))</x:f>
        <x:v>1.5789473684210527</x:v>
      </x:c>
      <x:c r="S304" s="2" t="str">
        <x:f>IF(N304&lt;&gt;"","志愿/合格",IF(O304&lt;&gt;"","受验/合格",""))</x:f>
        <x:v>志愿/合格</x:v>
      </x:c>
      <x:c r="T304" s="2" t="str">
        <x:v>官方</x:v>
      </x:c>
      <x:c r="U304" s="2" t="str">
        <x:v>高</x:v>
      </x:c>
      <x:c r="V304" s="27" t="str">
        <x:v>大学院情報科学院入学試験実施</x:v>
      </x:c>
      <x:c r="W304" s="27" t="str">
        <x:v>本文「令和年度4月入学者 合格者数」／修士課程・情報科学行</x:v>
      </x:c>
      <x:c r="X304" s="27" t="str">
        <x:v>https://www.ist.hokudai.ac.jp/news/n2603.html</x:v>
      </x:c>
      <x:c r="Y304" s="27" t="str">
        <x:v>情報科学専攻全体。项目所列5课程未单独公布。</x:v>
      </x:c>
      <x:c r="Z304" s="47" t="str">
        <x:v>定员196人为专攻年度定员，并非该期单独名额；受験者数・入学者数は非掲載。括号内等的内数不另行展开。</x:v>
      </x:c>
    </x:row>
    <x:row r="305" ht="38" customHeight="1">
      <x:c r="A305" s="2" t="str">
        <x:v>北海道大学</x:v>
      </x:c>
      <x:c r="B305" s="2" t="str">
        <x:v>水産科学院</x:v>
      </x:c>
      <x:c r="C305" s="2" t="str">
        <x:v>水産科学院全体（2専攻合計）</x:v>
      </x:c>
      <x:c r="D305" s="44" t="n">
        <x:v>2026</x:v>
      </x:c>
      <x:c r="E305" s="27" t="str">
        <x:v>年度合計</x:v>
      </x:c>
      <x:c r="F305" s="27" t="str">
        <x:v>修士課程</x:v>
      </x:c>
      <x:c r="G305" s="27" t="str">
        <x:v>全区分合計</x:v>
      </x:c>
      <x:c r="H305" s="27" t="str">
        <x:v>研究科合计</x:v>
      </x:c>
      <x:c r="I305" s="44" t="n">
        <x:v>114</x:v>
      </x:c>
      <x:c r="J305" s="44" t="n">
        <x:v>126</x:v>
      </x:c>
      <x:c r="K305" s="44"/>
      <x:c r="L305" s="44"/>
      <x:c r="M305" s="44" t="n">
        <x:v>91</x:v>
      </x:c>
      <x:c r="N305" s="45" t="str">
        <x:f>IF(AND(J305&lt;&gt;"",L305&lt;&gt;0),J305/L305,"")</x:f>
      </x:c>
      <x:c r="O305" s="45" t="str">
        <x:f>IF(AND(K305&lt;&gt;"",L305&lt;&gt;0),K305/L305,"")</x:f>
      </x:c>
      <x:c r="P305" s="46" t="str">
        <x:f>IF(AND(K305&lt;&gt;"",K305&lt;&gt;0,L305&lt;&gt;""),L305/K305,"")</x:f>
      </x:c>
      <x:c r="Q305" s="46" t="str">
        <x:f>IF(AND(L305&lt;&gt;"",L305&lt;&gt;0,M305&lt;&gt;""),M305/L305,"")</x:f>
      </x:c>
      <x:c r="R305" s="45" t="str">
        <x:f>IF(N305&lt;&gt;"",N305,IF(O305&lt;&gt;"",O305,""))</x:f>
      </x:c>
      <x:c r="S305" s="2" t="str">
        <x:f>IF(N305&lt;&gt;"","志愿/合格",IF(O305&lt;&gt;"","受验/合格",""))</x:f>
      </x:c>
      <x:c r="T305" s="2" t="str">
        <x:v>官方</x:v>
      </x:c>
      <x:c r="U305" s="2" t="str">
        <x:v>高</x:v>
      </x:c>
      <x:c r="V305" s="27" t="str">
        <x:v>組織／役職員 | 北海道大学大学院水産科学研究院・水産科学院・水産学部</x:v>
      </x:c>
      <x:c r="W305" s="27" t="str">
        <x:v>大学院水産科学院「入学定員・志願者数・入学者数」表／修士課程</x:v>
      </x:c>
      <x:c r="X305" s="27" t="str">
        <x:v>https://www2.fish.hokudai.ac.jp/department-graduate-school/officer.html</x:v>
      </x:c>
      <x:c r="Y305" s="27" t="str">
        <x:v>水産科学院2专攻合计，远大于项目所列海洋环境科学讲座/海洋物理学范围。</x:v>
      </x:c>
      <x:c r="Z305" s="47" t="str">
        <x:v>合格者数・受験者数は非掲載；只能作宽口径背景，不能计算项目课程报录比。</x:v>
      </x:c>
    </x:row>
    <x:row r="306" ht="38" customHeight="1">
      <x:c r="A306" s="2" t="str">
        <x:v>北海道大学</x:v>
      </x:c>
      <x:c r="B306" s="2" t="str">
        <x:v>水産科学院</x:v>
      </x:c>
      <x:c r="C306" s="2" t="str">
        <x:v>水産科学院全体（2専攻合计）</x:v>
      </x:c>
      <x:c r="D306" s="44" t="n">
        <x:v>2025</x:v>
      </x:c>
      <x:c r="E306" s="27" t="str">
        <x:v>年度合計</x:v>
      </x:c>
      <x:c r="F306" s="27" t="str">
        <x:v>修士課程</x:v>
      </x:c>
      <x:c r="G306" s="27" t="str">
        <x:v>全区分合計</x:v>
      </x:c>
      <x:c r="H306" s="27" t="str">
        <x:v>研究科合计</x:v>
      </x:c>
      <x:c r="I306" s="44" t="n">
        <x:v>114</x:v>
      </x:c>
      <x:c r="J306" s="44" t="n">
        <x:v>152</x:v>
      </x:c>
      <x:c r="K306" s="44"/>
      <x:c r="L306" s="44"/>
      <x:c r="M306" s="44" t="n">
        <x:v>114</x:v>
      </x:c>
      <x:c r="N306" s="45" t="str">
        <x:f>IF(AND(J306&lt;&gt;"",L306&lt;&gt;0),J306/L306,"")</x:f>
      </x:c>
      <x:c r="O306" s="45" t="str">
        <x:f>IF(AND(K306&lt;&gt;"",L306&lt;&gt;0),K306/L306,"")</x:f>
      </x:c>
      <x:c r="P306" s="46" t="str">
        <x:f>IF(AND(K306&lt;&gt;"",K306&lt;&gt;0,L306&lt;&gt;""),L306/K306,"")</x:f>
      </x:c>
      <x:c r="Q306" s="46" t="str">
        <x:f>IF(AND(L306&lt;&gt;"",L306&lt;&gt;0,M306&lt;&gt;""),M306/L306,"")</x:f>
      </x:c>
      <x:c r="R306" s="45" t="str">
        <x:f>IF(N306&lt;&gt;"",N306,IF(O306&lt;&gt;"",O306,""))</x:f>
      </x:c>
      <x:c r="S306" s="2" t="str">
        <x:f>IF(N306&lt;&gt;"","志愿/合格",IF(O306&lt;&gt;"","受验/合格",""))</x:f>
      </x:c>
      <x:c r="T306" s="2" t="str">
        <x:v>官方</x:v>
      </x:c>
      <x:c r="U306" s="2" t="str">
        <x:v>高</x:v>
      </x:c>
      <x:c r="V306" s="27" t="str">
        <x:v>大学院水産科学研究院・水産科学院・水産学部概要2025</x:v>
      </x:c>
      <x:c r="W306" s="27" t="str">
        <x:v>概要PDF「入学定員・志願者数・入学者数」／修士課程</x:v>
      </x:c>
      <x:c r="X306" s="27" t="str">
        <x:v>https://www2.fish.hokudai.ac.jp/wp-content/uploads/2025/11/suigaiyo2025_all_202507.pdf</x:v>
      </x:c>
      <x:c r="Y306" s="27" t="str">
        <x:v>水産科学院2专攻合计，远大于项目所列海洋环境科学讲座/海洋物理学范围。</x:v>
      </x:c>
      <x:c r="Z306" s="47" t="str">
        <x:v>合格者数・受験者数は非掲載；只能作宽口径背景，不能计算项目课程报录比。</x:v>
      </x:c>
    </x:row>
    <x:row r="307" ht="38" customHeight="1">
      <x:c r="A307" s="2" t="str">
        <x:v>九州大学</x:v>
      </x:c>
      <x:c r="B307" s="2" t="str">
        <x:v>経済学府</x:v>
      </x:c>
      <x:c r="C307" s="2" t="str">
        <x:v>経済工学専攻</x:v>
      </x:c>
      <x:c r="D307" s="44" t="n">
        <x:v>2022</x:v>
      </x:c>
      <x:c r="E307" s="27" t="str">
        <x:v>2021年10月発表分</x:v>
      </x:c>
      <x:c r="F307" s="27" t="str">
        <x:v>修士課程</x:v>
      </x:c>
      <x:c r="G307" s="27" t="str">
        <x:v>一般選抜</x:v>
      </x:c>
      <x:c r="H307" s="27" t="str">
        <x:v>专攻/系</x:v>
      </x:c>
      <x:c r="I307" s="44"/>
      <x:c r="J307" s="44"/>
      <x:c r="K307" s="44"/>
      <x:c r="L307" s="44" t="n">
        <x:v>12</x:v>
      </x:c>
      <x:c r="M307" s="44"/>
      <x:c r="N307" s="45" t="str">
        <x:f>IF(AND(J307&lt;&gt;"",L307&lt;&gt;0),J307/L307,"")</x:f>
      </x:c>
      <x:c r="O307" s="45" t="str">
        <x:f>IF(AND(K307&lt;&gt;"",L307&lt;&gt;0),K307/L307,"")</x:f>
      </x:c>
      <x:c r="P307" s="46" t="str">
        <x:f>IF(AND(K307&lt;&gt;"",K307&lt;&gt;0,L307&lt;&gt;""),L307/K307,"")</x:f>
      </x:c>
      <x:c r="Q307" s="46" t="str">
        <x:f>IF(AND(L307&lt;&gt;"",L307&lt;&gt;0,M307&lt;&gt;""),M307/L307,"")</x:f>
      </x:c>
      <x:c r="R307" s="45" t="str">
        <x:f>IF(N307&lt;&gt;"",N307,IF(O307&lt;&gt;"",O307,""))</x:f>
      </x:c>
      <x:c r="S307" s="2" t="str">
        <x:f>IF(N307&lt;&gt;"","志愿/合格",IF(O307&lt;&gt;"","受验/合格",""))</x:f>
      </x:c>
      <x:c r="T307" s="2" t="str">
        <x:v>官方</x:v>
      </x:c>
      <x:c r="U307" s="2" t="str">
        <x:v>高</x:v>
      </x:c>
      <x:c r="V307" s="27" t="str">
        <x:v>2022年度九州大学大学院経済学府修士課程 入学試験合格者</x:v>
      </x:c>
      <x:c r="W307" s="27" t="str">
        <x:v>PDF p.1／経済工学専攻・一般選抜・合格者数</x:v>
      </x:c>
      <x:c r="X307" s="27" t="str">
        <x:v>https://www.econ.kyushu-u.ac.jp/wp-content/uploads/2021/10/955be57cfd6609b1ebecbef99b04d371.pdf</x:v>
      </x:c>
      <x:c r="Y307" s="27" t="str">
        <x:v>经济工学专攻的类别别合格者数。</x:v>
      </x:c>
      <x:c r="Z307" s="47" t="str">
        <x:v>官方合格发表未记载志愿者、受验者、入学者；是否涵盖该年度全部批次需谨慎。</x:v>
      </x:c>
    </x:row>
    <x:row r="308" ht="38" customHeight="1">
      <x:c r="A308" s="2" t="str">
        <x:v>九州大学</x:v>
      </x:c>
      <x:c r="B308" s="2" t="str">
        <x:v>経済学府</x:v>
      </x:c>
      <x:c r="C308" s="2" t="str">
        <x:v>経済工学専攻</x:v>
      </x:c>
      <x:c r="D308" s="44" t="n">
        <x:v>2022</x:v>
      </x:c>
      <x:c r="E308" s="27" t="str">
        <x:v>2021年10月発表分</x:v>
      </x:c>
      <x:c r="F308" s="27" t="str">
        <x:v>修士課程</x:v>
      </x:c>
      <x:c r="G308" s="27" t="str">
        <x:v>社会人特別選抜</x:v>
      </x:c>
      <x:c r="H308" s="27" t="str">
        <x:v>专攻/系</x:v>
      </x:c>
      <x:c r="I308" s="44"/>
      <x:c r="J308" s="44"/>
      <x:c r="K308" s="44"/>
      <x:c r="L308" s="44" t="n">
        <x:v>0</x:v>
      </x:c>
      <x:c r="M308" s="44"/>
      <x:c r="N308" s="45" t="str">
        <x:f>IF(AND(J308&lt;&gt;"",L308&lt;&gt;0),J308/L308,"")</x:f>
      </x:c>
      <x:c r="O308" s="45" t="str">
        <x:f>IF(AND(K308&lt;&gt;"",L308&lt;&gt;0),K308/L308,"")</x:f>
      </x:c>
      <x:c r="P308" s="46" t="str">
        <x:f>IF(AND(K308&lt;&gt;"",K308&lt;&gt;0,L308&lt;&gt;""),L308/K308,"")</x:f>
      </x:c>
      <x:c r="Q308" s="46" t="str">
        <x:f>IF(AND(L308&lt;&gt;"",L308&lt;&gt;0,M308&lt;&gt;""),M308/L308,"")</x:f>
      </x:c>
      <x:c r="R308" s="45" t="str">
        <x:f>IF(N308&lt;&gt;"",N308,IF(O308&lt;&gt;"",O308,""))</x:f>
      </x:c>
      <x:c r="S308" s="2" t="str">
        <x:f>IF(N308&lt;&gt;"","志愿/合格",IF(O308&lt;&gt;"","受验/合格",""))</x:f>
      </x:c>
      <x:c r="T308" s="2" t="str">
        <x:v>官方</x:v>
      </x:c>
      <x:c r="U308" s="2" t="str">
        <x:v>高</x:v>
      </x:c>
      <x:c r="V308" s="27" t="str">
        <x:v>2022年度九州大学大学院経済学府修士課程 入学試験合格者</x:v>
      </x:c>
      <x:c r="W308" s="27" t="str">
        <x:v>PDF p.1／経済工学専攻・社会人特別選抜・合格者数</x:v>
      </x:c>
      <x:c r="X308" s="27" t="str">
        <x:v>https://www.econ.kyushu-u.ac.jp/wp-content/uploads/2021/10/955be57cfd6609b1ebecbef99b04d371.pdf</x:v>
      </x:c>
      <x:c r="Y308" s="27" t="str">
        <x:v>经济工学专攻的类别别合格者数。</x:v>
      </x:c>
      <x:c r="Z308" s="47" t="str">
        <x:v>官方合格发表未记载志愿者、受验者、入学者；是否涵盖该年度全部批次需谨慎。</x:v>
      </x:c>
    </x:row>
    <x:row r="309" ht="38" customHeight="1">
      <x:c r="A309" s="2" t="str">
        <x:v>九州大学</x:v>
      </x:c>
      <x:c r="B309" s="2" t="str">
        <x:v>経済学府</x:v>
      </x:c>
      <x:c r="C309" s="2" t="str">
        <x:v>経済工学専攻</x:v>
      </x:c>
      <x:c r="D309" s="44" t="n">
        <x:v>2022</x:v>
      </x:c>
      <x:c r="E309" s="27" t="str">
        <x:v>2021年10月発表分</x:v>
      </x:c>
      <x:c r="F309" s="27" t="str">
        <x:v>修士課程</x:v>
      </x:c>
      <x:c r="G309" s="27" t="str">
        <x:v>外国人留学生特別選抜</x:v>
      </x:c>
      <x:c r="H309" s="27" t="str">
        <x:v>专攻/系</x:v>
      </x:c>
      <x:c r="I309" s="44"/>
      <x:c r="J309" s="44"/>
      <x:c r="K309" s="44"/>
      <x:c r="L309" s="44" t="n">
        <x:v>1</x:v>
      </x:c>
      <x:c r="M309" s="44"/>
      <x:c r="N309" s="45" t="str">
        <x:f>IF(AND(J309&lt;&gt;"",L309&lt;&gt;0),J309/L309,"")</x:f>
      </x:c>
      <x:c r="O309" s="45" t="str">
        <x:f>IF(AND(K309&lt;&gt;"",L309&lt;&gt;0),K309/L309,"")</x:f>
      </x:c>
      <x:c r="P309" s="46" t="str">
        <x:f>IF(AND(K309&lt;&gt;"",K309&lt;&gt;0,L309&lt;&gt;""),L309/K309,"")</x:f>
      </x:c>
      <x:c r="Q309" s="46" t="str">
        <x:f>IF(AND(L309&lt;&gt;"",L309&lt;&gt;0,M309&lt;&gt;""),M309/L309,"")</x:f>
      </x:c>
      <x:c r="R309" s="45" t="str">
        <x:f>IF(N309&lt;&gt;"",N309,IF(O309&lt;&gt;"",O309,""))</x:f>
      </x:c>
      <x:c r="S309" s="2" t="str">
        <x:f>IF(N309&lt;&gt;"","志愿/合格",IF(O309&lt;&gt;"","受验/合格",""))</x:f>
      </x:c>
      <x:c r="T309" s="2" t="str">
        <x:v>官方</x:v>
      </x:c>
      <x:c r="U309" s="2" t="str">
        <x:v>高</x:v>
      </x:c>
      <x:c r="V309" s="27" t="str">
        <x:v>2022年度九州大学大学院経済学府修士課程 入学試験合格者</x:v>
      </x:c>
      <x:c r="W309" s="27" t="str">
        <x:v>PDF p.1／経済工学専攻・外国人留学生特別選抜・合格者数</x:v>
      </x:c>
      <x:c r="X309" s="27" t="str">
        <x:v>https://www.econ.kyushu-u.ac.jp/wp-content/uploads/2021/10/955be57cfd6609b1ebecbef99b04d371.pdf</x:v>
      </x:c>
      <x:c r="Y309" s="27" t="str">
        <x:v>经济工学专攻的类别别合格者数。</x:v>
      </x:c>
      <x:c r="Z309" s="47" t="str">
        <x:v>官方合格发表未记载志愿者、受验者、入学者；是否涵盖该年度全部批次需谨慎。</x:v>
      </x:c>
    </x:row>
    <x:row r="310" ht="38" customHeight="1">
      <x:c r="A310" s="2" t="str">
        <x:v>九州大学</x:v>
      </x:c>
      <x:c r="B310" s="2" t="str">
        <x:v>工学府</x:v>
      </x:c>
      <x:c r="C310" s="2" t="str">
        <x:v>応用化学専攻（機能物質化学系科目）</x:v>
      </x:c>
      <x:c r="D310" s="44" t="n">
        <x:v>2022</x:v>
      </x:c>
      <x:c r="E310" s="27" t="str">
        <x:v>年度入学試験実施状況合計</x:v>
      </x:c>
      <x:c r="F310" s="27" t="str">
        <x:v>修士課程</x:v>
      </x:c>
      <x:c r="G310" s="27" t="str">
        <x:v>公表合計</x:v>
      </x:c>
      <x:c r="H310" s="27" t="str">
        <x:v>课程/分野</x:v>
      </x:c>
      <x:c r="I310" s="44"/>
      <x:c r="J310" s="44" t="n">
        <x:v>38</x:v>
      </x:c>
      <x:c r="K310" s="44"/>
      <x:c r="L310" s="44" t="n">
        <x:v>37</x:v>
      </x:c>
      <x:c r="M310" s="44"/>
      <x:c r="N310" s="45" t="n">
        <x:f>IF(AND(J310&lt;&gt;"",L310&lt;&gt;0),J310/L310,"")</x:f>
        <x:v>1.027027027027027</x:v>
      </x:c>
      <x:c r="O310" s="45" t="str">
        <x:f>IF(AND(K310&lt;&gt;"",L310&lt;&gt;0),K310/L310,"")</x:f>
      </x:c>
      <x:c r="P310" s="46" t="str">
        <x:f>IF(AND(K310&lt;&gt;"",K310&lt;&gt;0,L310&lt;&gt;""),L310/K310,"")</x:f>
      </x:c>
      <x:c r="Q310" s="46" t="str">
        <x:f>IF(AND(L310&lt;&gt;"",L310&lt;&gt;0,M310&lt;&gt;""),M310/L310,"")</x:f>
      </x:c>
      <x:c r="R310" s="45" t="n">
        <x:f>IF(N310&lt;&gt;"",N310,IF(O310&lt;&gt;"",O310,""))</x:f>
        <x:v>1.027027027027027</x:v>
      </x:c>
      <x:c r="S310" s="2" t="str">
        <x:f>IF(N310&lt;&gt;"","志愿/合格",IF(O310&lt;&gt;"","受验/合格",""))</x:f>
        <x:v>志愿/合格</x:v>
      </x:c>
      <x:c r="T310" s="2" t="str">
        <x:v>官方</x:v>
      </x:c>
      <x:c r="U310" s="2" t="str">
        <x:v>高</x:v>
      </x:c>
      <x:c r="V310" s="27" t="str">
        <x:v>令和6年度 九州大学大学院工学府修士課程学生募集要項</x:v>
      </x:c>
      <x:c r="W310" s="27" t="str">
        <x:v>PDF p.28「入学試験実施状況」／応用化学専攻行・2022年度</x:v>
      </x:c>
      <x:c r="X310" s="27" t="str">
        <x:v>https://www.eng.kyushu-u.ac.jp/script/wordpress/wp-content/uploads/d9042c2b2f4cd4d219c45a82fda65286.pdf</x:v>
      </x:c>
      <x:c r="Y310" s="27" t="str">
        <x:v>定员68人为应用化学专攻两个系科目合计，原表未给功能物质化学系科目单独定员。</x:v>
      </x:c>
      <x:c r="Z310" s="47" t="str">
        <x:v>受験者数・入学者数は非掲載。</x:v>
      </x:c>
    </x:row>
    <x:row r="311" ht="38" customHeight="1">
      <x:c r="A311" s="2" t="str">
        <x:v>九州大学</x:v>
      </x:c>
      <x:c r="B311" s="2" t="str">
        <x:v>工学府</x:v>
      </x:c>
      <x:c r="C311" s="2" t="str">
        <x:v>応用化学専攻（機能物質化学系科目）</x:v>
      </x:c>
      <x:c r="D311" s="44" t="n">
        <x:v>2023</x:v>
      </x:c>
      <x:c r="E311" s="27" t="str">
        <x:v>年度入学試験実施状況合計</x:v>
      </x:c>
      <x:c r="F311" s="27" t="str">
        <x:v>修士課程</x:v>
      </x:c>
      <x:c r="G311" s="27" t="str">
        <x:v>公表合計</x:v>
      </x:c>
      <x:c r="H311" s="27" t="str">
        <x:v>课程/分野</x:v>
      </x:c>
      <x:c r="I311" s="44"/>
      <x:c r="J311" s="44" t="n">
        <x:v>41</x:v>
      </x:c>
      <x:c r="K311" s="44"/>
      <x:c r="L311" s="44" t="n">
        <x:v>34</x:v>
      </x:c>
      <x:c r="M311" s="44"/>
      <x:c r="N311" s="45" t="n">
        <x:f>IF(AND(J311&lt;&gt;"",L311&lt;&gt;0),J311/L311,"")</x:f>
        <x:v>1.2058823529411764</x:v>
      </x:c>
      <x:c r="O311" s="45" t="str">
        <x:f>IF(AND(K311&lt;&gt;"",L311&lt;&gt;0),K311/L311,"")</x:f>
      </x:c>
      <x:c r="P311" s="46" t="str">
        <x:f>IF(AND(K311&lt;&gt;"",K311&lt;&gt;0,L311&lt;&gt;""),L311/K311,"")</x:f>
      </x:c>
      <x:c r="Q311" s="46" t="str">
        <x:f>IF(AND(L311&lt;&gt;"",L311&lt;&gt;0,M311&lt;&gt;""),M311/L311,"")</x:f>
      </x:c>
      <x:c r="R311" s="45" t="n">
        <x:f>IF(N311&lt;&gt;"",N311,IF(O311&lt;&gt;"",O311,""))</x:f>
        <x:v>1.2058823529411764</x:v>
      </x:c>
      <x:c r="S311" s="2" t="str">
        <x:f>IF(N311&lt;&gt;"","志愿/合格",IF(O311&lt;&gt;"","受验/合格",""))</x:f>
        <x:v>志愿/合格</x:v>
      </x:c>
      <x:c r="T311" s="2" t="str">
        <x:v>官方</x:v>
      </x:c>
      <x:c r="U311" s="2" t="str">
        <x:v>高</x:v>
      </x:c>
      <x:c r="V311" s="27" t="str">
        <x:v>令和8年度 九州大学大学院工学府修士課程学生募集要項</x:v>
      </x:c>
      <x:c r="W311" s="27" t="str">
        <x:v>PDF p.28「入学試験実施状況」／応用化学専攻行・2023年度</x:v>
      </x:c>
      <x:c r="X311" s="27" t="str">
        <x:v>https://www.eng.kyushu-u.ac.jp/script/wordpress/wp-content/uploads/0c45fa993084b534141aee65b294cac2.pdf</x:v>
      </x:c>
      <x:c r="Y311" s="27" t="str">
        <x:v>定员68人为应用化学专攻两个系科目合计，原表未给功能物质化学系科目单独定员。</x:v>
      </x:c>
      <x:c r="Z311" s="47" t="str">
        <x:v>受験者数・入学者数は非掲載。</x:v>
      </x:c>
    </x:row>
    <x:row r="312" ht="38" customHeight="1">
      <x:c r="A312" s="2" t="str">
        <x:v>九州大学</x:v>
      </x:c>
      <x:c r="B312" s="2" t="str">
        <x:v>工学府</x:v>
      </x:c>
      <x:c r="C312" s="2" t="str">
        <x:v>応用化学専攻（機能物質化学系科目）</x:v>
      </x:c>
      <x:c r="D312" s="44" t="n">
        <x:v>2024</x:v>
      </x:c>
      <x:c r="E312" s="27" t="str">
        <x:v>年度入学試験実施状況合計</x:v>
      </x:c>
      <x:c r="F312" s="27" t="str">
        <x:v>修士課程</x:v>
      </x:c>
      <x:c r="G312" s="27" t="str">
        <x:v>公表合計</x:v>
      </x:c>
      <x:c r="H312" s="27" t="str">
        <x:v>课程/分野</x:v>
      </x:c>
      <x:c r="I312" s="44"/>
      <x:c r="J312" s="44" t="n">
        <x:v>39</x:v>
      </x:c>
      <x:c r="K312" s="44"/>
      <x:c r="L312" s="44" t="n">
        <x:v>38</x:v>
      </x:c>
      <x:c r="M312" s="44"/>
      <x:c r="N312" s="45" t="n">
        <x:f>IF(AND(J312&lt;&gt;"",L312&lt;&gt;0),J312/L312,"")</x:f>
        <x:v>1.0263157894736843</x:v>
      </x:c>
      <x:c r="O312" s="45" t="str">
        <x:f>IF(AND(K312&lt;&gt;"",L312&lt;&gt;0),K312/L312,"")</x:f>
      </x:c>
      <x:c r="P312" s="46" t="str">
        <x:f>IF(AND(K312&lt;&gt;"",K312&lt;&gt;0,L312&lt;&gt;""),L312/K312,"")</x:f>
      </x:c>
      <x:c r="Q312" s="46" t="str">
        <x:f>IF(AND(L312&lt;&gt;"",L312&lt;&gt;0,M312&lt;&gt;""),M312/L312,"")</x:f>
      </x:c>
      <x:c r="R312" s="45" t="n">
        <x:f>IF(N312&lt;&gt;"",N312,IF(O312&lt;&gt;"",O312,""))</x:f>
        <x:v>1.0263157894736843</x:v>
      </x:c>
      <x:c r="S312" s="2" t="str">
        <x:f>IF(N312&lt;&gt;"","志愿/合格",IF(O312&lt;&gt;"","受验/合格",""))</x:f>
        <x:v>志愿/合格</x:v>
      </x:c>
      <x:c r="T312" s="2" t="str">
        <x:v>官方</x:v>
      </x:c>
      <x:c r="U312" s="2" t="str">
        <x:v>高</x:v>
      </x:c>
      <x:c r="V312" s="27" t="str">
        <x:v>令和8年度 九州大学大学院工学府修士課程学生募集要項</x:v>
      </x:c>
      <x:c r="W312" s="27" t="str">
        <x:v>PDF p.28「入学試験実施状況」／応用化学専攻行・2024年度</x:v>
      </x:c>
      <x:c r="X312" s="27" t="str">
        <x:v>https://www.eng.kyushu-u.ac.jp/script/wordpress/wp-content/uploads/0c45fa993084b534141aee65b294cac2.pdf</x:v>
      </x:c>
      <x:c r="Y312" s="27" t="str">
        <x:v>定员68人为应用化学专攻两个系科目合计，原表未给功能物质化学系科目单独定员。</x:v>
      </x:c>
      <x:c r="Z312" s="47" t="str">
        <x:v>受験者数・入学者数は非掲載。</x:v>
      </x:c>
    </x:row>
    <x:row r="313" ht="38" customHeight="1">
      <x:c r="A313" s="2" t="str">
        <x:v>九州大学</x:v>
      </x:c>
      <x:c r="B313" s="2" t="str">
        <x:v>工学府</x:v>
      </x:c>
      <x:c r="C313" s="2" t="str">
        <x:v>応用化学専攻（機能物質化学系科目）</x:v>
      </x:c>
      <x:c r="D313" s="44" t="n">
        <x:v>2025</x:v>
      </x:c>
      <x:c r="E313" s="27" t="str">
        <x:v>年度入学試験実施状況合計</x:v>
      </x:c>
      <x:c r="F313" s="27" t="str">
        <x:v>修士課程</x:v>
      </x:c>
      <x:c r="G313" s="27" t="str">
        <x:v>公表合計</x:v>
      </x:c>
      <x:c r="H313" s="27" t="str">
        <x:v>课程/分野</x:v>
      </x:c>
      <x:c r="I313" s="44"/>
      <x:c r="J313" s="44" t="n">
        <x:v>35</x:v>
      </x:c>
      <x:c r="K313" s="44"/>
      <x:c r="L313" s="44" t="n">
        <x:v>33</x:v>
      </x:c>
      <x:c r="M313" s="44"/>
      <x:c r="N313" s="45" t="n">
        <x:f>IF(AND(J313&lt;&gt;"",L313&lt;&gt;0),J313/L313,"")</x:f>
        <x:v>1.0606060606060606</x:v>
      </x:c>
      <x:c r="O313" s="45" t="str">
        <x:f>IF(AND(K313&lt;&gt;"",L313&lt;&gt;0),K313/L313,"")</x:f>
      </x:c>
      <x:c r="P313" s="46" t="str">
        <x:f>IF(AND(K313&lt;&gt;"",K313&lt;&gt;0,L313&lt;&gt;""),L313/K313,"")</x:f>
      </x:c>
      <x:c r="Q313" s="46" t="str">
        <x:f>IF(AND(L313&lt;&gt;"",L313&lt;&gt;0,M313&lt;&gt;""),M313/L313,"")</x:f>
      </x:c>
      <x:c r="R313" s="45" t="n">
        <x:f>IF(N313&lt;&gt;"",N313,IF(O313&lt;&gt;"",O313,""))</x:f>
        <x:v>1.0606060606060606</x:v>
      </x:c>
      <x:c r="S313" s="2" t="str">
        <x:f>IF(N313&lt;&gt;"","志愿/合格",IF(O313&lt;&gt;"","受验/合格",""))</x:f>
        <x:v>志愿/合格</x:v>
      </x:c>
      <x:c r="T313" s="2" t="str">
        <x:v>官方</x:v>
      </x:c>
      <x:c r="U313" s="2" t="str">
        <x:v>高</x:v>
      </x:c>
      <x:c r="V313" s="27" t="str">
        <x:v>令和8年度 九州大学大学院工学府修士課程学生募集要項</x:v>
      </x:c>
      <x:c r="W313" s="27" t="str">
        <x:v>PDF p.28「入学試験実施状況」／応用化学専攻行・2025年度</x:v>
      </x:c>
      <x:c r="X313" s="27" t="str">
        <x:v>https://www.eng.kyushu-u.ac.jp/script/wordpress/wp-content/uploads/0c45fa993084b534141aee65b294cac2.pdf</x:v>
      </x:c>
      <x:c r="Y313" s="27" t="str">
        <x:v>定员68人为应用化学专攻两个系科目合计，原表未给功能物质化学系科目单独定员。</x:v>
      </x:c>
      <x:c r="Z313" s="47" t="str">
        <x:v>受験者数・入学者数は非掲載。</x:v>
      </x:c>
    </x:row>
    <x:row r="314" ht="38" customHeight="1">
      <x:c r="A314" s="2" t="str">
        <x:v>九州大学</x:v>
      </x:c>
      <x:c r="B314" s="2" t="str">
        <x:v>工学府</x:v>
      </x:c>
      <x:c r="C314" s="2" t="str">
        <x:v>機械工学専攻</x:v>
      </x:c>
      <x:c r="D314" s="44" t="n">
        <x:v>2022</x:v>
      </x:c>
      <x:c r="E314" s="27" t="str">
        <x:v>年度入学試験実施状況合計</x:v>
      </x:c>
      <x:c r="F314" s="27" t="str">
        <x:v>修士課程</x:v>
      </x:c>
      <x:c r="G314" s="27" t="str">
        <x:v>公表合計</x:v>
      </x:c>
      <x:c r="H314" s="27" t="str">
        <x:v>专攻/系</x:v>
      </x:c>
      <x:c r="I314" s="44" t="n">
        <x:v>73</x:v>
      </x:c>
      <x:c r="J314" s="44" t="n">
        <x:v>158</x:v>
      </x:c>
      <x:c r="K314" s="44"/>
      <x:c r="L314" s="44" t="n">
        <x:v>91</x:v>
      </x:c>
      <x:c r="M314" s="44"/>
      <x:c r="N314" s="45" t="n">
        <x:f>IF(AND(J314&lt;&gt;"",L314&lt;&gt;0),J314/L314,"")</x:f>
        <x:v>1.7362637362637363</x:v>
      </x:c>
      <x:c r="O314" s="45" t="str">
        <x:f>IF(AND(K314&lt;&gt;"",L314&lt;&gt;0),K314/L314,"")</x:f>
      </x:c>
      <x:c r="P314" s="46" t="str">
        <x:f>IF(AND(K314&lt;&gt;"",K314&lt;&gt;0,L314&lt;&gt;""),L314/K314,"")</x:f>
      </x:c>
      <x:c r="Q314" s="46" t="str">
        <x:f>IF(AND(L314&lt;&gt;"",L314&lt;&gt;0,M314&lt;&gt;""),M314/L314,"")</x:f>
      </x:c>
      <x:c r="R314" s="45" t="n">
        <x:f>IF(N314&lt;&gt;"",N314,IF(O314&lt;&gt;"",O314,""))</x:f>
        <x:v>1.7362637362637363</x:v>
      </x:c>
      <x:c r="S314" s="2" t="str">
        <x:f>IF(N314&lt;&gt;"","志愿/合格",IF(O314&lt;&gt;"","受验/合格",""))</x:f>
        <x:v>志愿/合格</x:v>
      </x:c>
      <x:c r="T314" s="2" t="str">
        <x:v>官方</x:v>
      </x:c>
      <x:c r="U314" s="2" t="str">
        <x:v>高</x:v>
      </x:c>
      <x:c r="V314" s="27" t="str">
        <x:v>令和6年度 九州大学大学院工学府修士課程学生募集要項</x:v>
      </x:c>
      <x:c r="W314" s="27" t="str">
        <x:v>PDF p.28「入学試験実施状況」／機械工学専攻行・2022年度</x:v>
      </x:c>
      <x:c r="X314" s="27" t="str">
        <x:v>https://www.eng.kyushu-u.ac.jp/script/wordpress/wp-content/uploads/d9042c2b2f4cd4d219c45a82fda65286.pdf</x:v>
      </x:c>
      <x:c r="Y314" s="27" t="str">
        <x:v>项目旧称/统合前「機械系専攻」对应现行机械工学专攻；按官网现行表记记录。</x:v>
      </x:c>
      <x:c r="Z314" s="47" t="str">
        <x:v>原表注记的志愿者口径含第1志愿・第2志愿；受験者数・入学者数は非掲載。</x:v>
      </x:c>
    </x:row>
    <x:row r="315" ht="38" customHeight="1">
      <x:c r="A315" s="2" t="str">
        <x:v>九州大学</x:v>
      </x:c>
      <x:c r="B315" s="2" t="str">
        <x:v>工学府</x:v>
      </x:c>
      <x:c r="C315" s="2" t="str">
        <x:v>機械工学専攻</x:v>
      </x:c>
      <x:c r="D315" s="44" t="n">
        <x:v>2023</x:v>
      </x:c>
      <x:c r="E315" s="27" t="str">
        <x:v>年度入学試験実施状況合計</x:v>
      </x:c>
      <x:c r="F315" s="27" t="str">
        <x:v>修士課程</x:v>
      </x:c>
      <x:c r="G315" s="27" t="str">
        <x:v>公表合計</x:v>
      </x:c>
      <x:c r="H315" s="27" t="str">
        <x:v>专攻/系</x:v>
      </x:c>
      <x:c r="I315" s="44" t="n">
        <x:v>73</x:v>
      </x:c>
      <x:c r="J315" s="44" t="n">
        <x:v>150</x:v>
      </x:c>
      <x:c r="K315" s="44"/>
      <x:c r="L315" s="44" t="n">
        <x:v>86</x:v>
      </x:c>
      <x:c r="M315" s="44"/>
      <x:c r="N315" s="45" t="n">
        <x:f>IF(AND(J315&lt;&gt;"",L315&lt;&gt;0),J315/L315,"")</x:f>
        <x:v>1.744186046511628</x:v>
      </x:c>
      <x:c r="O315" s="45" t="str">
        <x:f>IF(AND(K315&lt;&gt;"",L315&lt;&gt;0),K315/L315,"")</x:f>
      </x:c>
      <x:c r="P315" s="46" t="str">
        <x:f>IF(AND(K315&lt;&gt;"",K315&lt;&gt;0,L315&lt;&gt;""),L315/K315,"")</x:f>
      </x:c>
      <x:c r="Q315" s="46" t="str">
        <x:f>IF(AND(L315&lt;&gt;"",L315&lt;&gt;0,M315&lt;&gt;""),M315/L315,"")</x:f>
      </x:c>
      <x:c r="R315" s="45" t="n">
        <x:f>IF(N315&lt;&gt;"",N315,IF(O315&lt;&gt;"",O315,""))</x:f>
        <x:v>1.744186046511628</x:v>
      </x:c>
      <x:c r="S315" s="2" t="str">
        <x:f>IF(N315&lt;&gt;"","志愿/合格",IF(O315&lt;&gt;"","受验/合格",""))</x:f>
        <x:v>志愿/合格</x:v>
      </x:c>
      <x:c r="T315" s="2" t="str">
        <x:v>官方</x:v>
      </x:c>
      <x:c r="U315" s="2" t="str">
        <x:v>高</x:v>
      </x:c>
      <x:c r="V315" s="27" t="str">
        <x:v>令和8年度 九州大学大学院工学府修士課程学生募集要項</x:v>
      </x:c>
      <x:c r="W315" s="27" t="str">
        <x:v>PDF p.28「入学試験実施状況」／機械工学専攻行・2023年度</x:v>
      </x:c>
      <x:c r="X315" s="27" t="str">
        <x:v>https://www.eng.kyushu-u.ac.jp/script/wordpress/wp-content/uploads/0c45fa993084b534141aee65b294cac2.pdf</x:v>
      </x:c>
      <x:c r="Y315" s="27" t="str">
        <x:v>项目旧称/统合前「機械系専攻」对应现行机械工学专攻；按官网现行表记记录。</x:v>
      </x:c>
      <x:c r="Z315" s="47" t="str">
        <x:v>原表注记的志愿者口径含第1志愿・第2志愿；受験者数・入学者数は非掲載。</x:v>
      </x:c>
    </x:row>
    <x:row r="316" ht="38" customHeight="1">
      <x:c r="A316" s="2" t="str">
        <x:v>九州大学</x:v>
      </x:c>
      <x:c r="B316" s="2" t="str">
        <x:v>工学府</x:v>
      </x:c>
      <x:c r="C316" s="2" t="str">
        <x:v>機械工学専攻</x:v>
      </x:c>
      <x:c r="D316" s="44" t="n">
        <x:v>2024</x:v>
      </x:c>
      <x:c r="E316" s="27" t="str">
        <x:v>年度入学試験実施状況合計</x:v>
      </x:c>
      <x:c r="F316" s="27" t="str">
        <x:v>修士課程</x:v>
      </x:c>
      <x:c r="G316" s="27" t="str">
        <x:v>公表合計</x:v>
      </x:c>
      <x:c r="H316" s="27" t="str">
        <x:v>专攻/系</x:v>
      </x:c>
      <x:c r="I316" s="44" t="n">
        <x:v>73</x:v>
      </x:c>
      <x:c r="J316" s="44" t="n">
        <x:v>140</x:v>
      </x:c>
      <x:c r="K316" s="44"/>
      <x:c r="L316" s="44" t="n">
        <x:v>91</x:v>
      </x:c>
      <x:c r="M316" s="44"/>
      <x:c r="N316" s="45" t="n">
        <x:f>IF(AND(J316&lt;&gt;"",L316&lt;&gt;0),J316/L316,"")</x:f>
        <x:v>1.5384615384615385</x:v>
      </x:c>
      <x:c r="O316" s="45" t="str">
        <x:f>IF(AND(K316&lt;&gt;"",L316&lt;&gt;0),K316/L316,"")</x:f>
      </x:c>
      <x:c r="P316" s="46" t="str">
        <x:f>IF(AND(K316&lt;&gt;"",K316&lt;&gt;0,L316&lt;&gt;""),L316/K316,"")</x:f>
      </x:c>
      <x:c r="Q316" s="46" t="str">
        <x:f>IF(AND(L316&lt;&gt;"",L316&lt;&gt;0,M316&lt;&gt;""),M316/L316,"")</x:f>
      </x:c>
      <x:c r="R316" s="45" t="n">
        <x:f>IF(N316&lt;&gt;"",N316,IF(O316&lt;&gt;"",O316,""))</x:f>
        <x:v>1.5384615384615385</x:v>
      </x:c>
      <x:c r="S316" s="2" t="str">
        <x:f>IF(N316&lt;&gt;"","志愿/合格",IF(O316&lt;&gt;"","受验/合格",""))</x:f>
        <x:v>志愿/合格</x:v>
      </x:c>
      <x:c r="T316" s="2" t="str">
        <x:v>官方</x:v>
      </x:c>
      <x:c r="U316" s="2" t="str">
        <x:v>高</x:v>
      </x:c>
      <x:c r="V316" s="27" t="str">
        <x:v>令和8年度 九州大学大学院工学府修士課程学生募集要項</x:v>
      </x:c>
      <x:c r="W316" s="27" t="str">
        <x:v>PDF p.28「入学試験実施状況」／機械工学専攻行・2024年度</x:v>
      </x:c>
      <x:c r="X316" s="27" t="str">
        <x:v>https://www.eng.kyushu-u.ac.jp/script/wordpress/wp-content/uploads/0c45fa993084b534141aee65b294cac2.pdf</x:v>
      </x:c>
      <x:c r="Y316" s="27" t="str">
        <x:v>项目旧称/统合前「機械系専攻」对应现行机械工学专攻；按官网现行表记记录。</x:v>
      </x:c>
      <x:c r="Z316" s="47" t="str">
        <x:v>原表注记的志愿者口径含第1志愿・第2志愿；受験者数・入学者数は非掲載。</x:v>
      </x:c>
    </x:row>
    <x:row r="317" ht="38" customHeight="1">
      <x:c r="A317" s="2" t="str">
        <x:v>九州大学</x:v>
      </x:c>
      <x:c r="B317" s="2" t="str">
        <x:v>工学府</x:v>
      </x:c>
      <x:c r="C317" s="2" t="str">
        <x:v>機械工学専攻</x:v>
      </x:c>
      <x:c r="D317" s="44" t="n">
        <x:v>2025</x:v>
      </x:c>
      <x:c r="E317" s="27" t="str">
        <x:v>年度入学試験実施状況合計</x:v>
      </x:c>
      <x:c r="F317" s="27" t="str">
        <x:v>修士課程</x:v>
      </x:c>
      <x:c r="G317" s="27" t="str">
        <x:v>公表合計</x:v>
      </x:c>
      <x:c r="H317" s="27" t="str">
        <x:v>专攻/系</x:v>
      </x:c>
      <x:c r="I317" s="44" t="n">
        <x:v>73</x:v>
      </x:c>
      <x:c r="J317" s="44" t="n">
        <x:v>159</x:v>
      </x:c>
      <x:c r="K317" s="44"/>
      <x:c r="L317" s="44" t="n">
        <x:v>90</x:v>
      </x:c>
      <x:c r="M317" s="44"/>
      <x:c r="N317" s="45" t="n">
        <x:f>IF(AND(J317&lt;&gt;"",L317&lt;&gt;0),J317/L317,"")</x:f>
        <x:v>1.7666666666666666</x:v>
      </x:c>
      <x:c r="O317" s="45" t="str">
        <x:f>IF(AND(K317&lt;&gt;"",L317&lt;&gt;0),K317/L317,"")</x:f>
      </x:c>
      <x:c r="P317" s="46" t="str">
        <x:f>IF(AND(K317&lt;&gt;"",K317&lt;&gt;0,L317&lt;&gt;""),L317/K317,"")</x:f>
      </x:c>
      <x:c r="Q317" s="46" t="str">
        <x:f>IF(AND(L317&lt;&gt;"",L317&lt;&gt;0,M317&lt;&gt;""),M317/L317,"")</x:f>
      </x:c>
      <x:c r="R317" s="45" t="n">
        <x:f>IF(N317&lt;&gt;"",N317,IF(O317&lt;&gt;"",O317,""))</x:f>
        <x:v>1.7666666666666666</x:v>
      </x:c>
      <x:c r="S317" s="2" t="str">
        <x:f>IF(N317&lt;&gt;"","志愿/合格",IF(O317&lt;&gt;"","受验/合格",""))</x:f>
        <x:v>志愿/合格</x:v>
      </x:c>
      <x:c r="T317" s="2" t="str">
        <x:v>官方</x:v>
      </x:c>
      <x:c r="U317" s="2" t="str">
        <x:v>高</x:v>
      </x:c>
      <x:c r="V317" s="27" t="str">
        <x:v>令和8年度 九州大学大学院工学府修士課程学生募集要項</x:v>
      </x:c>
      <x:c r="W317" s="27" t="str">
        <x:v>PDF p.28「入学試験実施状況」／機械工学専攻行・2025年度</x:v>
      </x:c>
      <x:c r="X317" s="27" t="str">
        <x:v>https://www.eng.kyushu-u.ac.jp/script/wordpress/wp-content/uploads/0c45fa993084b534141aee65b294cac2.pdf</x:v>
      </x:c>
      <x:c r="Y317" s="27" t="str">
        <x:v>项目旧称/统合前「機械系専攻」对应现行机械工学专攻；按官网现行表记记录。</x:v>
      </x:c>
      <x:c r="Z317" s="47" t="str">
        <x:v>原表注记的志愿者口径含第1志愿・第2志愿；受験者数・入学者数は非掲載。</x:v>
      </x:c>
    </x:row>
    <x:row r="318" ht="38" customHeight="1">
      <x:c r="A318" s="2" t="str">
        <x:v>九州大学</x:v>
      </x:c>
      <x:c r="B318" s="2" t="str">
        <x:v>工学府</x:v>
      </x:c>
      <x:c r="C318" s="2" t="str">
        <x:v>船舶海洋工学専攻</x:v>
      </x:c>
      <x:c r="D318" s="44" t="n">
        <x:v>2022</x:v>
      </x:c>
      <x:c r="E318" s="27" t="str">
        <x:v>年度入学試験実施状況合計</x:v>
      </x:c>
      <x:c r="F318" s="27" t="str">
        <x:v>修士課程</x:v>
      </x:c>
      <x:c r="G318" s="27" t="str">
        <x:v>公表合計</x:v>
      </x:c>
      <x:c r="H318" s="27" t="str">
        <x:v>专攻/系</x:v>
      </x:c>
      <x:c r="I318" s="44" t="n">
        <x:v>25</x:v>
      </x:c>
      <x:c r="J318" s="44" t="n">
        <x:v>29</x:v>
      </x:c>
      <x:c r="K318" s="44"/>
      <x:c r="L318" s="44" t="n">
        <x:v>27</x:v>
      </x:c>
      <x:c r="M318" s="44"/>
      <x:c r="N318" s="45" t="n">
        <x:f>IF(AND(J318&lt;&gt;"",L318&lt;&gt;0),J318/L318,"")</x:f>
        <x:v>1.0740740740740742</x:v>
      </x:c>
      <x:c r="O318" s="45" t="str">
        <x:f>IF(AND(K318&lt;&gt;"",L318&lt;&gt;0),K318/L318,"")</x:f>
      </x:c>
      <x:c r="P318" s="46" t="str">
        <x:f>IF(AND(K318&lt;&gt;"",K318&lt;&gt;0,L318&lt;&gt;""),L318/K318,"")</x:f>
      </x:c>
      <x:c r="Q318" s="46" t="str">
        <x:f>IF(AND(L318&lt;&gt;"",L318&lt;&gt;0,M318&lt;&gt;""),M318/L318,"")</x:f>
      </x:c>
      <x:c r="R318" s="45" t="n">
        <x:f>IF(N318&lt;&gt;"",N318,IF(O318&lt;&gt;"",O318,""))</x:f>
        <x:v>1.0740740740740742</x:v>
      </x:c>
      <x:c r="S318" s="2" t="str">
        <x:f>IF(N318&lt;&gt;"","志愿/合格",IF(O318&lt;&gt;"","受验/合格",""))</x:f>
        <x:v>志愿/合格</x:v>
      </x:c>
      <x:c r="T318" s="2" t="str">
        <x:v>官方</x:v>
      </x:c>
      <x:c r="U318" s="2" t="str">
        <x:v>高</x:v>
      </x:c>
      <x:c r="V318" s="27" t="str">
        <x:v>令和6年度 九州大学大学院工学府修士課程学生募集要項</x:v>
      </x:c>
      <x:c r="W318" s="27" t="str">
        <x:v>PDF p.28「入学試験実施状況」／船舶海洋工学専攻行・2022年度</x:v>
      </x:c>
      <x:c r="X318" s="27" t="str">
        <x:v>https://www.eng.kyushu-u.ac.jp/script/wordpress/wp-content/uploads/d9042c2b2f4cd4d219c45a82fda65286.pdf</x:v>
      </x:c>
      <x:c r="Y318" s="27" t="str">
        <x:v>专攻单位。</x:v>
      </x:c>
      <x:c r="Z318" s="47" t="str">
        <x:v>受験者数・入学者数は非掲載。</x:v>
      </x:c>
    </x:row>
    <x:row r="319" ht="38" customHeight="1">
      <x:c r="A319" s="2" t="str">
        <x:v>九州大学</x:v>
      </x:c>
      <x:c r="B319" s="2" t="str">
        <x:v>工学府</x:v>
      </x:c>
      <x:c r="C319" s="2" t="str">
        <x:v>船舶海洋工学専攻</x:v>
      </x:c>
      <x:c r="D319" s="44" t="n">
        <x:v>2023</x:v>
      </x:c>
      <x:c r="E319" s="27" t="str">
        <x:v>年度入学試験実施状況合計</x:v>
      </x:c>
      <x:c r="F319" s="27" t="str">
        <x:v>修士課程</x:v>
      </x:c>
      <x:c r="G319" s="27" t="str">
        <x:v>公表合計</x:v>
      </x:c>
      <x:c r="H319" s="27" t="str">
        <x:v>专攻/系</x:v>
      </x:c>
      <x:c r="I319" s="44" t="n">
        <x:v>25</x:v>
      </x:c>
      <x:c r="J319" s="44" t="n">
        <x:v>32</x:v>
      </x:c>
      <x:c r="K319" s="44"/>
      <x:c r="L319" s="44" t="n">
        <x:v>29</x:v>
      </x:c>
      <x:c r="M319" s="44"/>
      <x:c r="N319" s="45" t="n">
        <x:f>IF(AND(J319&lt;&gt;"",L319&lt;&gt;0),J319/L319,"")</x:f>
        <x:v>1.103448275862069</x:v>
      </x:c>
      <x:c r="O319" s="45" t="str">
        <x:f>IF(AND(K319&lt;&gt;"",L319&lt;&gt;0),K319/L319,"")</x:f>
      </x:c>
      <x:c r="P319" s="46" t="str">
        <x:f>IF(AND(K319&lt;&gt;"",K319&lt;&gt;0,L319&lt;&gt;""),L319/K319,"")</x:f>
      </x:c>
      <x:c r="Q319" s="46" t="str">
        <x:f>IF(AND(L319&lt;&gt;"",L319&lt;&gt;0,M319&lt;&gt;""),M319/L319,"")</x:f>
      </x:c>
      <x:c r="R319" s="45" t="n">
        <x:f>IF(N319&lt;&gt;"",N319,IF(O319&lt;&gt;"",O319,""))</x:f>
        <x:v>1.103448275862069</x:v>
      </x:c>
      <x:c r="S319" s="2" t="str">
        <x:f>IF(N319&lt;&gt;"","志愿/合格",IF(O319&lt;&gt;"","受验/合格",""))</x:f>
        <x:v>志愿/合格</x:v>
      </x:c>
      <x:c r="T319" s="2" t="str">
        <x:v>官方</x:v>
      </x:c>
      <x:c r="U319" s="2" t="str">
        <x:v>高</x:v>
      </x:c>
      <x:c r="V319" s="27" t="str">
        <x:v>令和8年度 九州大学大学院工学府修士課程学生募集要項</x:v>
      </x:c>
      <x:c r="W319" s="27" t="str">
        <x:v>PDF p.28「入学試験実施状況」／船舶海洋工学専攻行・2023年度</x:v>
      </x:c>
      <x:c r="X319" s="27" t="str">
        <x:v>https://www.eng.kyushu-u.ac.jp/script/wordpress/wp-content/uploads/0c45fa993084b534141aee65b294cac2.pdf</x:v>
      </x:c>
      <x:c r="Y319" s="27" t="str">
        <x:v>专攻单位。</x:v>
      </x:c>
      <x:c r="Z319" s="47" t="str">
        <x:v>受験者数・入学者数は非掲載。</x:v>
      </x:c>
    </x:row>
    <x:row r="320" ht="38" customHeight="1">
      <x:c r="A320" s="2" t="str">
        <x:v>九州大学</x:v>
      </x:c>
      <x:c r="B320" s="2" t="str">
        <x:v>工学府</x:v>
      </x:c>
      <x:c r="C320" s="2" t="str">
        <x:v>船舶海洋工学専攻</x:v>
      </x:c>
      <x:c r="D320" s="44" t="n">
        <x:v>2024</x:v>
      </x:c>
      <x:c r="E320" s="27" t="str">
        <x:v>年度入学試験実施状況合計</x:v>
      </x:c>
      <x:c r="F320" s="27" t="str">
        <x:v>修士課程</x:v>
      </x:c>
      <x:c r="G320" s="27" t="str">
        <x:v>公表合計</x:v>
      </x:c>
      <x:c r="H320" s="27" t="str">
        <x:v>专攻/系</x:v>
      </x:c>
      <x:c r="I320" s="44" t="n">
        <x:v>25</x:v>
      </x:c>
      <x:c r="J320" s="44" t="n">
        <x:v>29</x:v>
      </x:c>
      <x:c r="K320" s="44"/>
      <x:c r="L320" s="44" t="n">
        <x:v>26</x:v>
      </x:c>
      <x:c r="M320" s="44"/>
      <x:c r="N320" s="45" t="n">
        <x:f>IF(AND(J320&lt;&gt;"",L320&lt;&gt;0),J320/L320,"")</x:f>
        <x:v>1.1153846153846154</x:v>
      </x:c>
      <x:c r="O320" s="45" t="str">
        <x:f>IF(AND(K320&lt;&gt;"",L320&lt;&gt;0),K320/L320,"")</x:f>
      </x:c>
      <x:c r="P320" s="46" t="str">
        <x:f>IF(AND(K320&lt;&gt;"",K320&lt;&gt;0,L320&lt;&gt;""),L320/K320,"")</x:f>
      </x:c>
      <x:c r="Q320" s="46" t="str">
        <x:f>IF(AND(L320&lt;&gt;"",L320&lt;&gt;0,M320&lt;&gt;""),M320/L320,"")</x:f>
      </x:c>
      <x:c r="R320" s="45" t="n">
        <x:f>IF(N320&lt;&gt;"",N320,IF(O320&lt;&gt;"",O320,""))</x:f>
        <x:v>1.1153846153846154</x:v>
      </x:c>
      <x:c r="S320" s="2" t="str">
        <x:f>IF(N320&lt;&gt;"","志愿/合格",IF(O320&lt;&gt;"","受验/合格",""))</x:f>
        <x:v>志愿/合格</x:v>
      </x:c>
      <x:c r="T320" s="2" t="str">
        <x:v>官方</x:v>
      </x:c>
      <x:c r="U320" s="2" t="str">
        <x:v>高</x:v>
      </x:c>
      <x:c r="V320" s="27" t="str">
        <x:v>令和8年度 九州大学大学院工学府修士課程学生募集要項</x:v>
      </x:c>
      <x:c r="W320" s="27" t="str">
        <x:v>PDF p.28「入学試験実施状況」／船舶海洋工学専攻行・2024年度</x:v>
      </x:c>
      <x:c r="X320" s="27" t="str">
        <x:v>https://www.eng.kyushu-u.ac.jp/script/wordpress/wp-content/uploads/0c45fa993084b534141aee65b294cac2.pdf</x:v>
      </x:c>
      <x:c r="Y320" s="27" t="str">
        <x:v>专攻单位。</x:v>
      </x:c>
      <x:c r="Z320" s="47" t="str">
        <x:v>受験者数・入学者数は非掲載。</x:v>
      </x:c>
    </x:row>
    <x:row r="321" ht="38" customHeight="1">
      <x:c r="A321" s="2" t="str">
        <x:v>九州大学</x:v>
      </x:c>
      <x:c r="B321" s="2" t="str">
        <x:v>工学府</x:v>
      </x:c>
      <x:c r="C321" s="2" t="str">
        <x:v>船舶海洋工学専攻</x:v>
      </x:c>
      <x:c r="D321" s="44" t="n">
        <x:v>2025</x:v>
      </x:c>
      <x:c r="E321" s="27" t="str">
        <x:v>年度入学試験実施状況合計</x:v>
      </x:c>
      <x:c r="F321" s="27" t="str">
        <x:v>修士課程</x:v>
      </x:c>
      <x:c r="G321" s="27" t="str">
        <x:v>公表合計</x:v>
      </x:c>
      <x:c r="H321" s="27" t="str">
        <x:v>专攻/系</x:v>
      </x:c>
      <x:c r="I321" s="44" t="n">
        <x:v>25</x:v>
      </x:c>
      <x:c r="J321" s="44" t="n">
        <x:v>31</x:v>
      </x:c>
      <x:c r="K321" s="44"/>
      <x:c r="L321" s="44" t="n">
        <x:v>30</x:v>
      </x:c>
      <x:c r="M321" s="44"/>
      <x:c r="N321" s="45" t="n">
        <x:f>IF(AND(J321&lt;&gt;"",L321&lt;&gt;0),J321/L321,"")</x:f>
        <x:v>1.0333333333333334</x:v>
      </x:c>
      <x:c r="O321" s="45" t="str">
        <x:f>IF(AND(K321&lt;&gt;"",L321&lt;&gt;0),K321/L321,"")</x:f>
      </x:c>
      <x:c r="P321" s="46" t="str">
        <x:f>IF(AND(K321&lt;&gt;"",K321&lt;&gt;0,L321&lt;&gt;""),L321/K321,"")</x:f>
      </x:c>
      <x:c r="Q321" s="46" t="str">
        <x:f>IF(AND(L321&lt;&gt;"",L321&lt;&gt;0,M321&lt;&gt;""),M321/L321,"")</x:f>
      </x:c>
      <x:c r="R321" s="45" t="n">
        <x:f>IF(N321&lt;&gt;"",N321,IF(O321&lt;&gt;"",O321,""))</x:f>
        <x:v>1.0333333333333334</x:v>
      </x:c>
      <x:c r="S321" s="2" t="str">
        <x:f>IF(N321&lt;&gt;"","志愿/合格",IF(O321&lt;&gt;"","受验/合格",""))</x:f>
        <x:v>志愿/合格</x:v>
      </x:c>
      <x:c r="T321" s="2" t="str">
        <x:v>官方</x:v>
      </x:c>
      <x:c r="U321" s="2" t="str">
        <x:v>高</x:v>
      </x:c>
      <x:c r="V321" s="27" t="str">
        <x:v>令和8年度 九州大学大学院工学府修士課程学生募集要項</x:v>
      </x:c>
      <x:c r="W321" s="27" t="str">
        <x:v>PDF p.28「入学試験実施状況」／船舶海洋工学専攻行・2025年度</x:v>
      </x:c>
      <x:c r="X321" s="27" t="str">
        <x:v>https://www.eng.kyushu-u.ac.jp/script/wordpress/wp-content/uploads/0c45fa993084b534141aee65b294cac2.pdf</x:v>
      </x:c>
      <x:c r="Y321" s="27" t="str">
        <x:v>专攻单位。</x:v>
      </x:c>
      <x:c r="Z321" s="47" t="str">
        <x:v>受験者数・入学者数は非掲載。</x:v>
      </x:c>
    </x:row>
    <x:row r="322" ht="38" customHeight="1">
      <x:c r="A322" s="2" t="str">
        <x:v>九州大学</x:v>
      </x:c>
      <x:c r="B322" s="2" t="str">
        <x:v>工学府</x:v>
      </x:c>
      <x:c r="C322" s="2" t="str">
        <x:v>土木工学専攻</x:v>
      </x:c>
      <x:c r="D322" s="44" t="n">
        <x:v>2022</x:v>
      </x:c>
      <x:c r="E322" s="27" t="str">
        <x:v>年度入学試験実施状況合計</x:v>
      </x:c>
      <x:c r="F322" s="27" t="str">
        <x:v>修士課程</x:v>
      </x:c>
      <x:c r="G322" s="27" t="str">
        <x:v>公表合計</x:v>
      </x:c>
      <x:c r="H322" s="27" t="str">
        <x:v>专攻/系</x:v>
      </x:c>
      <x:c r="I322" s="44" t="n">
        <x:v>52</x:v>
      </x:c>
      <x:c r="J322" s="44" t="n">
        <x:v>79</x:v>
      </x:c>
      <x:c r="K322" s="44"/>
      <x:c r="L322" s="44" t="n">
        <x:v>65</x:v>
      </x:c>
      <x:c r="M322" s="44"/>
      <x:c r="N322" s="45" t="n">
        <x:f>IF(AND(J322&lt;&gt;"",L322&lt;&gt;0),J322/L322,"")</x:f>
        <x:v>1.2153846153846153</x:v>
      </x:c>
      <x:c r="O322" s="45" t="str">
        <x:f>IF(AND(K322&lt;&gt;"",L322&lt;&gt;0),K322/L322,"")</x:f>
      </x:c>
      <x:c r="P322" s="46" t="str">
        <x:f>IF(AND(K322&lt;&gt;"",K322&lt;&gt;0,L322&lt;&gt;""),L322/K322,"")</x:f>
      </x:c>
      <x:c r="Q322" s="46" t="str">
        <x:f>IF(AND(L322&lt;&gt;"",L322&lt;&gt;0,M322&lt;&gt;""),M322/L322,"")</x:f>
      </x:c>
      <x:c r="R322" s="45" t="n">
        <x:f>IF(N322&lt;&gt;"",N322,IF(O322&lt;&gt;"",O322,""))</x:f>
        <x:v>1.2153846153846153</x:v>
      </x:c>
      <x:c r="S322" s="2" t="str">
        <x:f>IF(N322&lt;&gt;"","志愿/合格",IF(O322&lt;&gt;"","受验/合格",""))</x:f>
        <x:v>志愿/合格</x:v>
      </x:c>
      <x:c r="T322" s="2" t="str">
        <x:v>官方</x:v>
      </x:c>
      <x:c r="U322" s="2" t="str">
        <x:v>高</x:v>
      </x:c>
      <x:c r="V322" s="27" t="str">
        <x:v>令和6年度 九州大学大学院工学府修士課程学生募集要項</x:v>
      </x:c>
      <x:c r="W322" s="27" t="str">
        <x:v>PDF p.28「入学試験実施状況」／土木工学専攻行・2022年度</x:v>
      </x:c>
      <x:c r="X322" s="27" t="str">
        <x:v>https://www.eng.kyushu-u.ac.jp/script/wordpress/wp-content/uploads/d9042c2b2f4cd4d219c45a82fda65286.pdf</x:v>
      </x:c>
      <x:c r="Y322" s="27" t="str">
        <x:v>专攻单位。</x:v>
      </x:c>
      <x:c r="Z322" s="47" t="str">
        <x:v>受験者数・入学者数は非掲載。</x:v>
      </x:c>
    </x:row>
    <x:row r="323" ht="38" customHeight="1">
      <x:c r="A323" s="2" t="str">
        <x:v>九州大学</x:v>
      </x:c>
      <x:c r="B323" s="2" t="str">
        <x:v>工学府</x:v>
      </x:c>
      <x:c r="C323" s="2" t="str">
        <x:v>土木工学専攻</x:v>
      </x:c>
      <x:c r="D323" s="44" t="n">
        <x:v>2023</x:v>
      </x:c>
      <x:c r="E323" s="27" t="str">
        <x:v>年度入学試験実施状況合計</x:v>
      </x:c>
      <x:c r="F323" s="27" t="str">
        <x:v>修士課程</x:v>
      </x:c>
      <x:c r="G323" s="27" t="str">
        <x:v>公表合計</x:v>
      </x:c>
      <x:c r="H323" s="27" t="str">
        <x:v>专攻/系</x:v>
      </x:c>
      <x:c r="I323" s="44" t="n">
        <x:v>52</x:v>
      </x:c>
      <x:c r="J323" s="44" t="n">
        <x:v>82</x:v>
      </x:c>
      <x:c r="K323" s="44"/>
      <x:c r="L323" s="44" t="n">
        <x:v>66</x:v>
      </x:c>
      <x:c r="M323" s="44"/>
      <x:c r="N323" s="45" t="n">
        <x:f>IF(AND(J323&lt;&gt;"",L323&lt;&gt;0),J323/L323,"")</x:f>
        <x:v>1.2424242424242424</x:v>
      </x:c>
      <x:c r="O323" s="45" t="str">
        <x:f>IF(AND(K323&lt;&gt;"",L323&lt;&gt;0),K323/L323,"")</x:f>
      </x:c>
      <x:c r="P323" s="46" t="str">
        <x:f>IF(AND(K323&lt;&gt;"",K323&lt;&gt;0,L323&lt;&gt;""),L323/K323,"")</x:f>
      </x:c>
      <x:c r="Q323" s="46" t="str">
        <x:f>IF(AND(L323&lt;&gt;"",L323&lt;&gt;0,M323&lt;&gt;""),M323/L323,"")</x:f>
      </x:c>
      <x:c r="R323" s="45" t="n">
        <x:f>IF(N323&lt;&gt;"",N323,IF(O323&lt;&gt;"",O323,""))</x:f>
        <x:v>1.2424242424242424</x:v>
      </x:c>
      <x:c r="S323" s="2" t="str">
        <x:f>IF(N323&lt;&gt;"","志愿/合格",IF(O323&lt;&gt;"","受验/合格",""))</x:f>
        <x:v>志愿/合格</x:v>
      </x:c>
      <x:c r="T323" s="2" t="str">
        <x:v>官方</x:v>
      </x:c>
      <x:c r="U323" s="2" t="str">
        <x:v>高</x:v>
      </x:c>
      <x:c r="V323" s="27" t="str">
        <x:v>令和8年度 九州大学大学院工学府修士課程学生募集要項</x:v>
      </x:c>
      <x:c r="W323" s="27" t="str">
        <x:v>PDF p.28「入学試験実施状況」／土木工学専攻行・2023年度</x:v>
      </x:c>
      <x:c r="X323" s="27" t="str">
        <x:v>https://www.eng.kyushu-u.ac.jp/script/wordpress/wp-content/uploads/0c45fa993084b534141aee65b294cac2.pdf</x:v>
      </x:c>
      <x:c r="Y323" s="27" t="str">
        <x:v>专攻单位。</x:v>
      </x:c>
      <x:c r="Z323" s="47" t="str">
        <x:v>受験者数・入学者数は非掲載。</x:v>
      </x:c>
    </x:row>
    <x:row r="324" ht="38" customHeight="1">
      <x:c r="A324" s="2" t="str">
        <x:v>九州大学</x:v>
      </x:c>
      <x:c r="B324" s="2" t="str">
        <x:v>工学府</x:v>
      </x:c>
      <x:c r="C324" s="2" t="str">
        <x:v>土木工学専攻</x:v>
      </x:c>
      <x:c r="D324" s="44" t="n">
        <x:v>2024</x:v>
      </x:c>
      <x:c r="E324" s="27" t="str">
        <x:v>年度入学試験実施状況合計</x:v>
      </x:c>
      <x:c r="F324" s="27" t="str">
        <x:v>修士課程</x:v>
      </x:c>
      <x:c r="G324" s="27" t="str">
        <x:v>公表合計</x:v>
      </x:c>
      <x:c r="H324" s="27" t="str">
        <x:v>专攻/系</x:v>
      </x:c>
      <x:c r="I324" s="44" t="n">
        <x:v>52</x:v>
      </x:c>
      <x:c r="J324" s="44" t="n">
        <x:v>86</x:v>
      </x:c>
      <x:c r="K324" s="44"/>
      <x:c r="L324" s="44" t="n">
        <x:v>66</x:v>
      </x:c>
      <x:c r="M324" s="44"/>
      <x:c r="N324" s="45" t="n">
        <x:f>IF(AND(J324&lt;&gt;"",L324&lt;&gt;0),J324/L324,"")</x:f>
        <x:v>1.303030303030303</x:v>
      </x:c>
      <x:c r="O324" s="45" t="str">
        <x:f>IF(AND(K324&lt;&gt;"",L324&lt;&gt;0),K324/L324,"")</x:f>
      </x:c>
      <x:c r="P324" s="46" t="str">
        <x:f>IF(AND(K324&lt;&gt;"",K324&lt;&gt;0,L324&lt;&gt;""),L324/K324,"")</x:f>
      </x:c>
      <x:c r="Q324" s="46" t="str">
        <x:f>IF(AND(L324&lt;&gt;"",L324&lt;&gt;0,M324&lt;&gt;""),M324/L324,"")</x:f>
      </x:c>
      <x:c r="R324" s="45" t="n">
        <x:f>IF(N324&lt;&gt;"",N324,IF(O324&lt;&gt;"",O324,""))</x:f>
        <x:v>1.303030303030303</x:v>
      </x:c>
      <x:c r="S324" s="2" t="str">
        <x:f>IF(N324&lt;&gt;"","志愿/合格",IF(O324&lt;&gt;"","受验/合格",""))</x:f>
        <x:v>志愿/合格</x:v>
      </x:c>
      <x:c r="T324" s="2" t="str">
        <x:v>官方</x:v>
      </x:c>
      <x:c r="U324" s="2" t="str">
        <x:v>高</x:v>
      </x:c>
      <x:c r="V324" s="27" t="str">
        <x:v>令和8年度 九州大学大学院工学府修士課程学生募集要項</x:v>
      </x:c>
      <x:c r="W324" s="27" t="str">
        <x:v>PDF p.28「入学試験実施状況」／土木工学専攻行・2024年度</x:v>
      </x:c>
      <x:c r="X324" s="27" t="str">
        <x:v>https://www.eng.kyushu-u.ac.jp/script/wordpress/wp-content/uploads/0c45fa993084b534141aee65b294cac2.pdf</x:v>
      </x:c>
      <x:c r="Y324" s="27" t="str">
        <x:v>专攻单位。</x:v>
      </x:c>
      <x:c r="Z324" s="47" t="str">
        <x:v>受験者数・入学者数は非掲載。</x:v>
      </x:c>
    </x:row>
    <x:row r="325" ht="38" customHeight="1">
      <x:c r="A325" s="2" t="str">
        <x:v>九州大学</x:v>
      </x:c>
      <x:c r="B325" s="2" t="str">
        <x:v>工学府</x:v>
      </x:c>
      <x:c r="C325" s="2" t="str">
        <x:v>土木工学専攻</x:v>
      </x:c>
      <x:c r="D325" s="44" t="n">
        <x:v>2025</x:v>
      </x:c>
      <x:c r="E325" s="27" t="str">
        <x:v>年度入学試験実施状況合計</x:v>
      </x:c>
      <x:c r="F325" s="27" t="str">
        <x:v>修士課程</x:v>
      </x:c>
      <x:c r="G325" s="27" t="str">
        <x:v>公表合計</x:v>
      </x:c>
      <x:c r="H325" s="27" t="str">
        <x:v>专攻/系</x:v>
      </x:c>
      <x:c r="I325" s="44" t="n">
        <x:v>52</x:v>
      </x:c>
      <x:c r="J325" s="44" t="n">
        <x:v>81</x:v>
      </x:c>
      <x:c r="K325" s="44"/>
      <x:c r="L325" s="44" t="n">
        <x:v>70</x:v>
      </x:c>
      <x:c r="M325" s="44"/>
      <x:c r="N325" s="45" t="n">
        <x:f>IF(AND(J325&lt;&gt;"",L325&lt;&gt;0),J325/L325,"")</x:f>
        <x:v>1.1571428571428573</x:v>
      </x:c>
      <x:c r="O325" s="45" t="str">
        <x:f>IF(AND(K325&lt;&gt;"",L325&lt;&gt;0),K325/L325,"")</x:f>
      </x:c>
      <x:c r="P325" s="46" t="str">
        <x:f>IF(AND(K325&lt;&gt;"",K325&lt;&gt;0,L325&lt;&gt;""),L325/K325,"")</x:f>
      </x:c>
      <x:c r="Q325" s="46" t="str">
        <x:f>IF(AND(L325&lt;&gt;"",L325&lt;&gt;0,M325&lt;&gt;""),M325/L325,"")</x:f>
      </x:c>
      <x:c r="R325" s="45" t="n">
        <x:f>IF(N325&lt;&gt;"",N325,IF(O325&lt;&gt;"",O325,""))</x:f>
        <x:v>1.1571428571428573</x:v>
      </x:c>
      <x:c r="S325" s="2" t="str">
        <x:f>IF(N325&lt;&gt;"","志愿/合格",IF(O325&lt;&gt;"","受验/合格",""))</x:f>
        <x:v>志愿/合格</x:v>
      </x:c>
      <x:c r="T325" s="2" t="str">
        <x:v>官方</x:v>
      </x:c>
      <x:c r="U325" s="2" t="str">
        <x:v>高</x:v>
      </x:c>
      <x:c r="V325" s="27" t="str">
        <x:v>令和8年度 九州大学大学院工学府修士課程学生募集要項</x:v>
      </x:c>
      <x:c r="W325" s="27" t="str">
        <x:v>PDF p.28「入学試験実施状況」／土木工学専攻行・2025年度</x:v>
      </x:c>
      <x:c r="X325" s="27" t="str">
        <x:v>https://www.eng.kyushu-u.ac.jp/script/wordpress/wp-content/uploads/0c45fa993084b534141aee65b294cac2.pdf</x:v>
      </x:c>
      <x:c r="Y325" s="27" t="str">
        <x:v>专攻单位。</x:v>
      </x:c>
      <x:c r="Z325" s="47" t="str">
        <x:v>受験者数・入学者数は非掲載。</x:v>
      </x:c>
    </x:row>
    <x:row r="326" ht="38" customHeight="1">
      <x:c r="A326" s="2" t="str">
        <x:v>九州大学</x:v>
      </x:c>
      <x:c r="B326" s="2" t="str">
        <x:v>工学府</x:v>
      </x:c>
      <x:c r="C326" s="2" t="str">
        <x:v>量子物理工学専攻</x:v>
      </x:c>
      <x:c r="D326" s="44" t="n">
        <x:v>2022</x:v>
      </x:c>
      <x:c r="E326" s="27" t="str">
        <x:v>年度入学試験実施状況合計</x:v>
      </x:c>
      <x:c r="F326" s="27" t="str">
        <x:v>修士課程</x:v>
      </x:c>
      <x:c r="G326" s="27" t="str">
        <x:v>公表合計</x:v>
      </x:c>
      <x:c r="H326" s="27" t="str">
        <x:v>专攻/系</x:v>
      </x:c>
      <x:c r="I326" s="44" t="n">
        <x:v>30</x:v>
      </x:c>
      <x:c r="J326" s="44" t="n">
        <x:v>34</x:v>
      </x:c>
      <x:c r="K326" s="44"/>
      <x:c r="L326" s="44" t="n">
        <x:v>31</x:v>
      </x:c>
      <x:c r="M326" s="44"/>
      <x:c r="N326" s="45" t="n">
        <x:f>IF(AND(J326&lt;&gt;"",L326&lt;&gt;0),J326/L326,"")</x:f>
        <x:v>1.096774193548387</x:v>
      </x:c>
      <x:c r="O326" s="45" t="str">
        <x:f>IF(AND(K326&lt;&gt;"",L326&lt;&gt;0),K326/L326,"")</x:f>
      </x:c>
      <x:c r="P326" s="46" t="str">
        <x:f>IF(AND(K326&lt;&gt;"",K326&lt;&gt;0,L326&lt;&gt;""),L326/K326,"")</x:f>
      </x:c>
      <x:c r="Q326" s="46" t="str">
        <x:f>IF(AND(L326&lt;&gt;"",L326&lt;&gt;0,M326&lt;&gt;""),M326/L326,"")</x:f>
      </x:c>
      <x:c r="R326" s="45" t="n">
        <x:f>IF(N326&lt;&gt;"",N326,IF(O326&lt;&gt;"",O326,""))</x:f>
        <x:v>1.096774193548387</x:v>
      </x:c>
      <x:c r="S326" s="2" t="str">
        <x:f>IF(N326&lt;&gt;"","志愿/合格",IF(O326&lt;&gt;"","受验/合格",""))</x:f>
        <x:v>志愿/合格</x:v>
      </x:c>
      <x:c r="T326" s="2" t="str">
        <x:v>官方</x:v>
      </x:c>
      <x:c r="U326" s="2" t="str">
        <x:v>高</x:v>
      </x:c>
      <x:c r="V326" s="27" t="str">
        <x:v>令和6年度 九州大学大学院工学府修士課程学生募集要項</x:v>
      </x:c>
      <x:c r="W326" s="27" t="str">
        <x:v>PDF p.28「入学試験実施状況」／量子物理工学専攻行・2022年度</x:v>
      </x:c>
      <x:c r="X326" s="27" t="str">
        <x:v>https://www.eng.kyushu-u.ac.jp/script/wordpress/wp-content/uploads/d9042c2b2f4cd4d219c45a82fda65286.pdf</x:v>
      </x:c>
      <x:c r="Y326" s="27" t="str">
        <x:v>专攻单位。</x:v>
      </x:c>
      <x:c r="Z326" s="47" t="str">
        <x:v>受験者数・入学者数は非掲載。</x:v>
      </x:c>
    </x:row>
    <x:row r="327" ht="38" customHeight="1">
      <x:c r="A327" s="2" t="str">
        <x:v>九州大学</x:v>
      </x:c>
      <x:c r="B327" s="2" t="str">
        <x:v>工学府</x:v>
      </x:c>
      <x:c r="C327" s="2" t="str">
        <x:v>量子物理工学専攻</x:v>
      </x:c>
      <x:c r="D327" s="44" t="n">
        <x:v>2023</x:v>
      </x:c>
      <x:c r="E327" s="27" t="str">
        <x:v>年度入学試験実施状況合計</x:v>
      </x:c>
      <x:c r="F327" s="27" t="str">
        <x:v>修士課程</x:v>
      </x:c>
      <x:c r="G327" s="27" t="str">
        <x:v>公表合計</x:v>
      </x:c>
      <x:c r="H327" s="27" t="str">
        <x:v>专攻/系</x:v>
      </x:c>
      <x:c r="I327" s="44" t="n">
        <x:v>30</x:v>
      </x:c>
      <x:c r="J327" s="44" t="n">
        <x:v>36</x:v>
      </x:c>
      <x:c r="K327" s="44"/>
      <x:c r="L327" s="44" t="n">
        <x:v>33</x:v>
      </x:c>
      <x:c r="M327" s="44"/>
      <x:c r="N327" s="45" t="n">
        <x:f>IF(AND(J327&lt;&gt;"",L327&lt;&gt;0),J327/L327,"")</x:f>
        <x:v>1.0909090909090908</x:v>
      </x:c>
      <x:c r="O327" s="45" t="str">
        <x:f>IF(AND(K327&lt;&gt;"",L327&lt;&gt;0),K327/L327,"")</x:f>
      </x:c>
      <x:c r="P327" s="46" t="str">
        <x:f>IF(AND(K327&lt;&gt;"",K327&lt;&gt;0,L327&lt;&gt;""),L327/K327,"")</x:f>
      </x:c>
      <x:c r="Q327" s="46" t="str">
        <x:f>IF(AND(L327&lt;&gt;"",L327&lt;&gt;0,M327&lt;&gt;""),M327/L327,"")</x:f>
      </x:c>
      <x:c r="R327" s="45" t="n">
        <x:f>IF(N327&lt;&gt;"",N327,IF(O327&lt;&gt;"",O327,""))</x:f>
        <x:v>1.0909090909090908</x:v>
      </x:c>
      <x:c r="S327" s="2" t="str">
        <x:f>IF(N327&lt;&gt;"","志愿/合格",IF(O327&lt;&gt;"","受验/合格",""))</x:f>
        <x:v>志愿/合格</x:v>
      </x:c>
      <x:c r="T327" s="2" t="str">
        <x:v>官方</x:v>
      </x:c>
      <x:c r="U327" s="2" t="str">
        <x:v>高</x:v>
      </x:c>
      <x:c r="V327" s="27" t="str">
        <x:v>令和8年度 九州大学大学院工学府修士課程学生募集要項</x:v>
      </x:c>
      <x:c r="W327" s="27" t="str">
        <x:v>PDF p.28「入学試験実施状況」／量子物理工学専攻行・2023年度</x:v>
      </x:c>
      <x:c r="X327" s="27" t="str">
        <x:v>https://www.eng.kyushu-u.ac.jp/script/wordpress/wp-content/uploads/0c45fa993084b534141aee65b294cac2.pdf</x:v>
      </x:c>
      <x:c r="Y327" s="27" t="str">
        <x:v>专攻单位。</x:v>
      </x:c>
      <x:c r="Z327" s="47" t="str">
        <x:v>受験者数・入学者数は非掲載。</x:v>
      </x:c>
    </x:row>
    <x:row r="328" ht="38" customHeight="1">
      <x:c r="A328" s="2" t="str">
        <x:v>九州大学</x:v>
      </x:c>
      <x:c r="B328" s="2" t="str">
        <x:v>工学府</x:v>
      </x:c>
      <x:c r="C328" s="2" t="str">
        <x:v>量子物理工学専攻</x:v>
      </x:c>
      <x:c r="D328" s="44" t="n">
        <x:v>2024</x:v>
      </x:c>
      <x:c r="E328" s="27" t="str">
        <x:v>年度入学試験実施状況合計</x:v>
      </x:c>
      <x:c r="F328" s="27" t="str">
        <x:v>修士課程</x:v>
      </x:c>
      <x:c r="G328" s="27" t="str">
        <x:v>公表合計</x:v>
      </x:c>
      <x:c r="H328" s="27" t="str">
        <x:v>专攻/系</x:v>
      </x:c>
      <x:c r="I328" s="44" t="n">
        <x:v>30</x:v>
      </x:c>
      <x:c r="J328" s="44" t="n">
        <x:v>33</x:v>
      </x:c>
      <x:c r="K328" s="44"/>
      <x:c r="L328" s="44" t="n">
        <x:v>30</x:v>
      </x:c>
      <x:c r="M328" s="44"/>
      <x:c r="N328" s="45" t="n">
        <x:f>IF(AND(J328&lt;&gt;"",L328&lt;&gt;0),J328/L328,"")</x:f>
        <x:v>1.1</x:v>
      </x:c>
      <x:c r="O328" s="45" t="str">
        <x:f>IF(AND(K328&lt;&gt;"",L328&lt;&gt;0),K328/L328,"")</x:f>
      </x:c>
      <x:c r="P328" s="46" t="str">
        <x:f>IF(AND(K328&lt;&gt;"",K328&lt;&gt;0,L328&lt;&gt;""),L328/K328,"")</x:f>
      </x:c>
      <x:c r="Q328" s="46" t="str">
        <x:f>IF(AND(L328&lt;&gt;"",L328&lt;&gt;0,M328&lt;&gt;""),M328/L328,"")</x:f>
      </x:c>
      <x:c r="R328" s="45" t="n">
        <x:f>IF(N328&lt;&gt;"",N328,IF(O328&lt;&gt;"",O328,""))</x:f>
        <x:v>1.1</x:v>
      </x:c>
      <x:c r="S328" s="2" t="str">
        <x:f>IF(N328&lt;&gt;"","志愿/合格",IF(O328&lt;&gt;"","受验/合格",""))</x:f>
        <x:v>志愿/合格</x:v>
      </x:c>
      <x:c r="T328" s="2" t="str">
        <x:v>官方</x:v>
      </x:c>
      <x:c r="U328" s="2" t="str">
        <x:v>高</x:v>
      </x:c>
      <x:c r="V328" s="27" t="str">
        <x:v>令和8年度 九州大学大学院工学府修士課程学生募集要項</x:v>
      </x:c>
      <x:c r="W328" s="27" t="str">
        <x:v>PDF p.28「入学試験実施状況」／量子物理工学専攻行・2024年度</x:v>
      </x:c>
      <x:c r="X328" s="27" t="str">
        <x:v>https://www.eng.kyushu-u.ac.jp/script/wordpress/wp-content/uploads/0c45fa993084b534141aee65b294cac2.pdf</x:v>
      </x:c>
      <x:c r="Y328" s="27" t="str">
        <x:v>专攻单位。</x:v>
      </x:c>
      <x:c r="Z328" s="47" t="str">
        <x:v>受験者数・入学者数は非掲載。</x:v>
      </x:c>
    </x:row>
    <x:row r="329" ht="38" customHeight="1">
      <x:c r="A329" s="2" t="str">
        <x:v>九州大学</x:v>
      </x:c>
      <x:c r="B329" s="2" t="str">
        <x:v>工学府</x:v>
      </x:c>
      <x:c r="C329" s="2" t="str">
        <x:v>量子物理工学専攻</x:v>
      </x:c>
      <x:c r="D329" s="44" t="n">
        <x:v>2025</x:v>
      </x:c>
      <x:c r="E329" s="27" t="str">
        <x:v>年度入学試験実施状況合計</x:v>
      </x:c>
      <x:c r="F329" s="27" t="str">
        <x:v>修士課程</x:v>
      </x:c>
      <x:c r="G329" s="27" t="str">
        <x:v>公表合計</x:v>
      </x:c>
      <x:c r="H329" s="27" t="str">
        <x:v>专攻/系</x:v>
      </x:c>
      <x:c r="I329" s="44" t="n">
        <x:v>30</x:v>
      </x:c>
      <x:c r="J329" s="44" t="n">
        <x:v>21</x:v>
      </x:c>
      <x:c r="K329" s="44"/>
      <x:c r="L329" s="44" t="n">
        <x:v>21</x:v>
      </x:c>
      <x:c r="M329" s="44"/>
      <x:c r="N329" s="45" t="n">
        <x:f>IF(AND(J329&lt;&gt;"",L329&lt;&gt;0),J329/L329,"")</x:f>
        <x:v>1</x:v>
      </x:c>
      <x:c r="O329" s="45" t="str">
        <x:f>IF(AND(K329&lt;&gt;"",L329&lt;&gt;0),K329/L329,"")</x:f>
      </x:c>
      <x:c r="P329" s="46" t="str">
        <x:f>IF(AND(K329&lt;&gt;"",K329&lt;&gt;0,L329&lt;&gt;""),L329/K329,"")</x:f>
      </x:c>
      <x:c r="Q329" s="46" t="str">
        <x:f>IF(AND(L329&lt;&gt;"",L329&lt;&gt;0,M329&lt;&gt;""),M329/L329,"")</x:f>
      </x:c>
      <x:c r="R329" s="45" t="n">
        <x:f>IF(N329&lt;&gt;"",N329,IF(O329&lt;&gt;"",O329,""))</x:f>
        <x:v>1</x:v>
      </x:c>
      <x:c r="S329" s="2" t="str">
        <x:f>IF(N329&lt;&gt;"","志愿/合格",IF(O329&lt;&gt;"","受验/合格",""))</x:f>
        <x:v>志愿/合格</x:v>
      </x:c>
      <x:c r="T329" s="2" t="str">
        <x:v>官方</x:v>
      </x:c>
      <x:c r="U329" s="2" t="str">
        <x:v>高</x:v>
      </x:c>
      <x:c r="V329" s="27" t="str">
        <x:v>令和8年度 九州大学大学院工学府修士課程学生募集要項</x:v>
      </x:c>
      <x:c r="W329" s="27" t="str">
        <x:v>PDF p.28「入学試験実施状況」／量子物理工学専攻行・2025年度</x:v>
      </x:c>
      <x:c r="X329" s="27" t="str">
        <x:v>https://www.eng.kyushu-u.ac.jp/script/wordpress/wp-content/uploads/0c45fa993084b534141aee65b294cac2.pdf</x:v>
      </x:c>
      <x:c r="Y329" s="27" t="str">
        <x:v>专攻单位。</x:v>
      </x:c>
      <x:c r="Z329" s="47" t="str">
        <x:v>受験者数・入学者数は非掲載。</x:v>
      </x:c>
    </x:row>
    <x:row r="330" ht="38" customHeight="1">
      <x:c r="A330" s="2" t="str">
        <x:v>九州大学</x:v>
      </x:c>
      <x:c r="B330" s="2" t="str">
        <x:v>数理学府</x:v>
      </x:c>
      <x:c r="C330" s="2" t="str">
        <x:v>MMAコース</x:v>
      </x:c>
      <x:c r="D330" s="44" t="n">
        <x:v>2026</x:v>
      </x:c>
      <x:c r="E330" s="27" t="str">
        <x:v>一般選抜</x:v>
      </x:c>
      <x:c r="F330" s="27" t="str">
        <x:v>修士課程</x:v>
      </x:c>
      <x:c r="G330" s="27" t="str">
        <x:v>一般選抜</x:v>
      </x:c>
      <x:c r="H330" s="27" t="str">
        <x:v>课程/分野</x:v>
      </x:c>
      <x:c r="I330" s="44"/>
      <x:c r="J330" s="44"/>
      <x:c r="K330" s="44"/>
      <x:c r="L330" s="44" t="n">
        <x:v>4</x:v>
      </x:c>
      <x:c r="M330" s="44"/>
      <x:c r="N330" s="45" t="str">
        <x:f>IF(AND(J330&lt;&gt;"",L330&lt;&gt;0),J330/L330,"")</x:f>
      </x:c>
      <x:c r="O330" s="45" t="str">
        <x:f>IF(AND(K330&lt;&gt;"",L330&lt;&gt;0),K330/L330,"")</x:f>
      </x:c>
      <x:c r="P330" s="46" t="str">
        <x:f>IF(AND(K330&lt;&gt;"",K330&lt;&gt;0,L330&lt;&gt;""),L330/K330,"")</x:f>
      </x:c>
      <x:c r="Q330" s="46" t="str">
        <x:f>IF(AND(L330&lt;&gt;"",L330&lt;&gt;0,M330&lt;&gt;""),M330/L330,"")</x:f>
      </x:c>
      <x:c r="R330" s="45" t="str">
        <x:f>IF(N330&lt;&gt;"",N330,IF(O330&lt;&gt;"",O330,""))</x:f>
      </x:c>
      <x:c r="S330" s="2" t="str">
        <x:f>IF(N330&lt;&gt;"","志愿/合格",IF(O330&lt;&gt;"","受验/合格",""))</x:f>
      </x:c>
      <x:c r="T330" s="2" t="str">
        <x:v>官方</x:v>
      </x:c>
      <x:c r="U330" s="2" t="str">
        <x:v>高</x:v>
      </x:c>
      <x:c r="V330" s="27" t="str">
        <x:v>令和8年度 九州大学大学院数理学府修士課程 入学試験 合格者一覧</x:v>
      </x:c>
      <x:c r="W330" s="27" t="str">
        <x:v>PDF p.1／MMAコース（4名）</x:v>
      </x:c>
      <x:c r="X330" s="27" t="str">
        <x:v>https://www.math.kyushu-u.ac.jp/wp-content/uploads/2025/08/2025master.pdf</x:v>
      </x:c>
      <x:c r="Y330" s="27" t="str">
        <x:v>课程别合格者数。</x:v>
      </x:c>
      <x:c r="Z330" s="47" t="str">
        <x:v>该合格发表未记载志愿者、受验者、入学者；不能单独计算报录比。</x:v>
      </x:c>
    </x:row>
    <x:row r="331" ht="38" customHeight="1">
      <x:c r="A331" s="2" t="str">
        <x:v>九州大学</x:v>
      </x:c>
      <x:c r="B331" s="2" t="str">
        <x:v>数理学府</x:v>
      </x:c>
      <x:c r="C331" s="2" t="str">
        <x:v>数理学コース</x:v>
      </x:c>
      <x:c r="D331" s="44" t="n">
        <x:v>2026</x:v>
      </x:c>
      <x:c r="E331" s="27" t="str">
        <x:v>一般選抜</x:v>
      </x:c>
      <x:c r="F331" s="27" t="str">
        <x:v>修士課程</x:v>
      </x:c>
      <x:c r="G331" s="27" t="str">
        <x:v>一般選抜</x:v>
      </x:c>
      <x:c r="H331" s="27" t="str">
        <x:v>课程/分野</x:v>
      </x:c>
      <x:c r="I331" s="44"/>
      <x:c r="J331" s="44"/>
      <x:c r="K331" s="44"/>
      <x:c r="L331" s="44" t="n">
        <x:v>47</x:v>
      </x:c>
      <x:c r="M331" s="44"/>
      <x:c r="N331" s="45" t="str">
        <x:f>IF(AND(J331&lt;&gt;"",L331&lt;&gt;0),J331/L331,"")</x:f>
      </x:c>
      <x:c r="O331" s="45" t="str">
        <x:f>IF(AND(K331&lt;&gt;"",L331&lt;&gt;0),K331/L331,"")</x:f>
      </x:c>
      <x:c r="P331" s="46" t="str">
        <x:f>IF(AND(K331&lt;&gt;"",K331&lt;&gt;0,L331&lt;&gt;""),L331/K331,"")</x:f>
      </x:c>
      <x:c r="Q331" s="46" t="str">
        <x:f>IF(AND(L331&lt;&gt;"",L331&lt;&gt;0,M331&lt;&gt;""),M331/L331,"")</x:f>
      </x:c>
      <x:c r="R331" s="45" t="str">
        <x:f>IF(N331&lt;&gt;"",N331,IF(O331&lt;&gt;"",O331,""))</x:f>
      </x:c>
      <x:c r="S331" s="2" t="str">
        <x:f>IF(N331&lt;&gt;"","志愿/合格",IF(O331&lt;&gt;"","受验/合格",""))</x:f>
      </x:c>
      <x:c r="T331" s="2" t="str">
        <x:v>官方</x:v>
      </x:c>
      <x:c r="U331" s="2" t="str">
        <x:v>高</x:v>
      </x:c>
      <x:c r="V331" s="27" t="str">
        <x:v>令和8年度 九州大学大学院数理学府修士課程 入学試験 合格者一覧</x:v>
      </x:c>
      <x:c r="W331" s="27" t="str">
        <x:v>PDF p.1／数理学コース（47名）</x:v>
      </x:c>
      <x:c r="X331" s="27" t="str">
        <x:v>https://www.math.kyushu-u.ac.jp/wp-content/uploads/2025/08/2025master.pdf</x:v>
      </x:c>
      <x:c r="Y331" s="27" t="str">
        <x:v>课程别合格者数。</x:v>
      </x:c>
      <x:c r="Z331" s="47" t="str">
        <x:v>该合格发表未记载志愿者、受验者、入学者；不能单独计算报录比。</x:v>
      </x:c>
    </x:row>
    <x:row r="332" ht="38" customHeight="1">
      <x:c r="A332" s="2" t="str">
        <x:v>九州大学</x:v>
      </x:c>
      <x:c r="B332" s="2" t="str">
        <x:v>理学府</x:v>
      </x:c>
      <x:c r="C332" s="2" t="str">
        <x:v>地球惑星科学専攻</x:v>
      </x:c>
      <x:c r="D332" s="44" t="n">
        <x:v>2026</x:v>
      </x:c>
      <x:c r="E332" s="27" t="str">
        <x:v>春期入学</x:v>
      </x:c>
      <x:c r="F332" s="27" t="str">
        <x:v>修士課程</x:v>
      </x:c>
      <x:c r="G332" s="27" t="str">
        <x:v>全選抜区分合計</x:v>
      </x:c>
      <x:c r="H332" s="27" t="str">
        <x:v>专攻/系</x:v>
      </x:c>
      <x:c r="I332" s="44" t="n">
        <x:v>41</x:v>
      </x:c>
      <x:c r="J332" s="44" t="n">
        <x:v>55</x:v>
      </x:c>
      <x:c r="K332" s="44"/>
      <x:c r="L332" s="44" t="n">
        <x:v>47</x:v>
      </x:c>
      <x:c r="M332" s="44" t="n">
        <x:v>44</x:v>
      </x:c>
      <x:c r="N332" s="45" t="n">
        <x:f>IF(AND(J332&lt;&gt;"",L332&lt;&gt;0),J332/L332,"")</x:f>
        <x:v>1.1702127659574468</x:v>
      </x:c>
      <x:c r="O332" s="45" t="str">
        <x:f>IF(AND(K332&lt;&gt;"",L332&lt;&gt;0),K332/L332,"")</x:f>
      </x:c>
      <x:c r="P332" s="46" t="str">
        <x:f>IF(AND(K332&lt;&gt;"",K332&lt;&gt;0,L332&lt;&gt;""),L332/K332,"")</x:f>
      </x:c>
      <x:c r="Q332" s="46" t="n">
        <x:f>IF(AND(L332&lt;&gt;"",L332&lt;&gt;0,M332&lt;&gt;""),M332/L332,"")</x:f>
        <x:v>0.9361702127659575</x:v>
      </x:c>
      <x:c r="R332" s="45" t="n">
        <x:f>IF(N332&lt;&gt;"",N332,IF(O332&lt;&gt;"",O332,""))</x:f>
        <x:v>1.1702127659574468</x:v>
      </x:c>
      <x:c r="S332" s="2" t="str">
        <x:f>IF(N332&lt;&gt;"","志愿/合格",IF(O332&lt;&gt;"","受验/合格",""))</x:f>
        <x:v>志愿/合格</x:v>
      </x:c>
      <x:c r="T332" s="2" t="str">
        <x:v>官方</x:v>
      </x:c>
      <x:c r="U332" s="2" t="str">
        <x:v>高</x:v>
      </x:c>
      <x:c r="V332" s="27" t="str">
        <x:v>大学院学生数・入学状況・就職状況 | 九州大学 理学研究院 理学府 理学部</x:v>
      </x:c>
      <x:c r="W332" s="27" t="str">
        <x:v>「入学状況（春期入学）」表／修士課程・地球惑星科学専攻行</x:v>
      </x:c>
      <x:c r="X332" s="27" t="str">
        <x:v>https://www.sci.kyushu-u.ac.jp/about/data/graduate.html</x:v>
      </x:c>
      <x:c r="Y332" s="27" t="str">
        <x:v>専攻単位の精确値。</x:v>
      </x:c>
      <x:c r="Z332" s="47" t="str">
        <x:v>受験者数は非掲載。</x:v>
      </x:c>
    </x:row>
    <x:row r="333" ht="38" customHeight="1">
      <x:c r="A333" s="2" t="str">
        <x:v>九州大学</x:v>
      </x:c>
      <x:c r="B333" s="2" t="str">
        <x:v>理学府</x:v>
      </x:c>
      <x:c r="C333" s="2" t="str">
        <x:v>物理学専攻</x:v>
      </x:c>
      <x:c r="D333" s="44" t="n">
        <x:v>2026</x:v>
      </x:c>
      <x:c r="E333" s="27" t="str">
        <x:v>春期入学</x:v>
      </x:c>
      <x:c r="F333" s="27" t="str">
        <x:v>修士課程</x:v>
      </x:c>
      <x:c r="G333" s="27" t="str">
        <x:v>全選抜区分合計</x:v>
      </x:c>
      <x:c r="H333" s="27" t="str">
        <x:v>专攻/系</x:v>
      </x:c>
      <x:c r="I333" s="44" t="n">
        <x:v>41</x:v>
      </x:c>
      <x:c r="J333" s="44" t="n">
        <x:v>75</x:v>
      </x:c>
      <x:c r="K333" s="44"/>
      <x:c r="L333" s="44" t="n">
        <x:v>52</x:v>
      </x:c>
      <x:c r="M333" s="44" t="n">
        <x:v>51</x:v>
      </x:c>
      <x:c r="N333" s="45" t="n">
        <x:f>IF(AND(J333&lt;&gt;"",L333&lt;&gt;0),J333/L333,"")</x:f>
        <x:v>1.4423076923076923</x:v>
      </x:c>
      <x:c r="O333" s="45" t="str">
        <x:f>IF(AND(K333&lt;&gt;"",L333&lt;&gt;0),K333/L333,"")</x:f>
      </x:c>
      <x:c r="P333" s="46" t="str">
        <x:f>IF(AND(K333&lt;&gt;"",K333&lt;&gt;0,L333&lt;&gt;""),L333/K333,"")</x:f>
      </x:c>
      <x:c r="Q333" s="46" t="n">
        <x:f>IF(AND(L333&lt;&gt;"",L333&lt;&gt;0,M333&lt;&gt;""),M333/L333,"")</x:f>
        <x:v>0.9807692307692307</x:v>
      </x:c>
      <x:c r="R333" s="45" t="n">
        <x:f>IF(N333&lt;&gt;"",N333,IF(O333&lt;&gt;"",O333,""))</x:f>
        <x:v>1.4423076923076923</x:v>
      </x:c>
      <x:c r="S333" s="2" t="str">
        <x:f>IF(N333&lt;&gt;"","志愿/合格",IF(O333&lt;&gt;"","受验/合格",""))</x:f>
        <x:v>志愿/合格</x:v>
      </x:c>
      <x:c r="T333" s="2" t="str">
        <x:v>官方</x:v>
      </x:c>
      <x:c r="U333" s="2" t="str">
        <x:v>高</x:v>
      </x:c>
      <x:c r="V333" s="27" t="str">
        <x:v>大学院学生数・入学状況・就職状況 | 九州大学 理学研究院 理学府 理学部</x:v>
      </x:c>
      <x:c r="W333" s="27" t="str">
        <x:v>「入学状況（春期入学）」表／修士課程・物理学専攻行</x:v>
      </x:c>
      <x:c r="X333" s="27" t="str">
        <x:v>https://www.sci.kyushu-u.ac.jp/about/data/graduate.html</x:v>
      </x:c>
      <x:c r="Y333" s="27" t="str">
        <x:v>専攻単位の精确値。</x:v>
      </x:c>
      <x:c r="Z333" s="47" t="str">
        <x:v>受験者数は非掲載。</x:v>
      </x:c>
    </x:row>
    <x:row r="334" ht="38" customHeight="1">
      <x:c r="A334" s="2" t="str">
        <x:v>慶應義塾大学</x:v>
      </x:c>
      <x:c r="B334" s="2" t="str">
        <x:v>経営管理研究科</x:v>
      </x:c>
      <x:c r="C334" s="2" t="str">
        <x:v>MBAプログラム</x:v>
      </x:c>
      <x:c r="D334" s="44" t="n">
        <x:v>2022</x:v>
      </x:c>
      <x:c r="E334" s="27" t="str">
        <x:v>年度合計</x:v>
      </x:c>
      <x:c r="F334" s="27" t="str">
        <x:v>修士課程（MBA）</x:v>
      </x:c>
      <x:c r="G334" s="27" t="str">
        <x:v>MBAプログラム全選抜合計</x:v>
      </x:c>
      <x:c r="H334" s="27" t="str">
        <x:v>专攻/系</x:v>
      </x:c>
      <x:c r="I334" s="44"/>
      <x:c r="J334" s="44"/>
      <x:c r="K334" s="44"/>
      <x:c r="L334" s="44"/>
      <x:c r="M334" s="44" t="n">
        <x:v>69</x:v>
      </x:c>
      <x:c r="N334" s="45" t="str">
        <x:f>IF(AND(J334&lt;&gt;"",L334&lt;&gt;0),J334/L334,"")</x:f>
      </x:c>
      <x:c r="O334" s="45" t="str">
        <x:f>IF(AND(K334&lt;&gt;"",L334&lt;&gt;0),K334/L334,"")</x:f>
      </x:c>
      <x:c r="P334" s="46" t="str">
        <x:f>IF(AND(K334&lt;&gt;"",K334&lt;&gt;0,L334&lt;&gt;""),L334/K334,"")</x:f>
      </x:c>
      <x:c r="Q334" s="46" t="str">
        <x:f>IF(AND(L334&lt;&gt;"",L334&lt;&gt;0,M334&lt;&gt;""),M334/L334,"")</x:f>
      </x:c>
      <x:c r="R334" s="45" t="str">
        <x:f>IF(N334&lt;&gt;"",N334,IF(O334&lt;&gt;"",O334,""))</x:f>
      </x:c>
      <x:c r="S334" s="2" t="str">
        <x:f>IF(N334&lt;&gt;"","志愿/合格",IF(O334&lt;&gt;"","受验/合格",""))</x:f>
      </x:c>
      <x:c r="T334" s="2" t="str">
        <x:v>官方</x:v>
      </x:c>
      <x:c r="U334" s="2" t="str">
        <x:v>高</x:v>
      </x:c>
      <x:c r="V334" s="27" t="str">
        <x:v>歴史と実績 | KBS 慶應義塾大学大学院経営管理研究科</x:v>
      </x:c>
      <x:c r="W334" s="27" t="str">
        <x:v>「統計」／MBAプログラム：入学者数表</x:v>
      </x:c>
      <x:c r="X334" s="27" t="str">
        <x:v>https://www.kbs.keio.ac.jp/about/history.html</x:v>
      </x:c>
      <x:c r="Y334" s="27" t="str">
        <x:v>MBA项目精确值；不含EMBA项目。</x:v>
      </x:c>
      <x:c r="Z334" s="47" t="str">
        <x:v>2022–2023は入学者数のみ掲載；出愿数・合格者数的现行表只覆盖2024–2026。</x:v>
      </x:c>
    </x:row>
    <x:row r="335" ht="38" customHeight="1">
      <x:c r="A335" s="2" t="str">
        <x:v>慶應義塾大学</x:v>
      </x:c>
      <x:c r="B335" s="2" t="str">
        <x:v>経営管理研究科</x:v>
      </x:c>
      <x:c r="C335" s="2" t="str">
        <x:v>MBAプログラム</x:v>
      </x:c>
      <x:c r="D335" s="44" t="n">
        <x:v>2023</x:v>
      </x:c>
      <x:c r="E335" s="27" t="str">
        <x:v>年度合計</x:v>
      </x:c>
      <x:c r="F335" s="27" t="str">
        <x:v>修士課程（MBA）</x:v>
      </x:c>
      <x:c r="G335" s="27" t="str">
        <x:v>MBAプログラム全選抜合計</x:v>
      </x:c>
      <x:c r="H335" s="27" t="str">
        <x:v>专攻/系</x:v>
      </x:c>
      <x:c r="I335" s="44"/>
      <x:c r="J335" s="44"/>
      <x:c r="K335" s="44"/>
      <x:c r="L335" s="44"/>
      <x:c r="M335" s="44" t="n">
        <x:v>76</x:v>
      </x:c>
      <x:c r="N335" s="45" t="str">
        <x:f>IF(AND(J335&lt;&gt;"",L335&lt;&gt;0),J335/L335,"")</x:f>
      </x:c>
      <x:c r="O335" s="45" t="str">
        <x:f>IF(AND(K335&lt;&gt;"",L335&lt;&gt;0),K335/L335,"")</x:f>
      </x:c>
      <x:c r="P335" s="46" t="str">
        <x:f>IF(AND(K335&lt;&gt;"",K335&lt;&gt;0,L335&lt;&gt;""),L335/K335,"")</x:f>
      </x:c>
      <x:c r="Q335" s="46" t="str">
        <x:f>IF(AND(L335&lt;&gt;"",L335&lt;&gt;0,M335&lt;&gt;""),M335/L335,"")</x:f>
      </x:c>
      <x:c r="R335" s="45" t="str">
        <x:f>IF(N335&lt;&gt;"",N335,IF(O335&lt;&gt;"",O335,""))</x:f>
      </x:c>
      <x:c r="S335" s="2" t="str">
        <x:f>IF(N335&lt;&gt;"","志愿/合格",IF(O335&lt;&gt;"","受验/合格",""))</x:f>
      </x:c>
      <x:c r="T335" s="2" t="str">
        <x:v>官方</x:v>
      </x:c>
      <x:c r="U335" s="2" t="str">
        <x:v>高</x:v>
      </x:c>
      <x:c r="V335" s="27" t="str">
        <x:v>歴史と実績 | KBS 慶應義塾大学大学院経営管理研究科</x:v>
      </x:c>
      <x:c r="W335" s="27" t="str">
        <x:v>「統計」／MBAプログラム：入学者数表</x:v>
      </x:c>
      <x:c r="X335" s="27" t="str">
        <x:v>https://www.kbs.keio.ac.jp/about/history.html</x:v>
      </x:c>
      <x:c r="Y335" s="27" t="str">
        <x:v>MBA项目精确值；不含EMBA项目。</x:v>
      </x:c>
      <x:c r="Z335" s="47" t="str">
        <x:v>2022–2023は入学者数のみ掲載；出愿数・合格者数的现行表只覆盖2024–2026。</x:v>
      </x:c>
    </x:row>
    <x:row r="336" ht="38" customHeight="1">
      <x:c r="A336" s="2" t="str">
        <x:v>慶應義塾大学</x:v>
      </x:c>
      <x:c r="B336" s="2" t="str">
        <x:v>経営管理研究科</x:v>
      </x:c>
      <x:c r="C336" s="2" t="str">
        <x:v>MBAプログラム</x:v>
      </x:c>
      <x:c r="D336" s="44" t="n">
        <x:v>2024</x:v>
      </x:c>
      <x:c r="E336" s="27" t="str">
        <x:v>年度合計</x:v>
      </x:c>
      <x:c r="F336" s="27" t="str">
        <x:v>修士課程（MBA）</x:v>
      </x:c>
      <x:c r="G336" s="27" t="str">
        <x:v>MBAプログラム全選抜合計</x:v>
      </x:c>
      <x:c r="H336" s="27" t="str">
        <x:v>专攻/系</x:v>
      </x:c>
      <x:c r="I336" s="44"/>
      <x:c r="J336" s="44" t="n">
        <x:v>279</x:v>
      </x:c>
      <x:c r="K336" s="44"/>
      <x:c r="L336" s="44" t="n">
        <x:v>75</x:v>
      </x:c>
      <x:c r="M336" s="44" t="n">
        <x:v>66</x:v>
      </x:c>
      <x:c r="N336" s="45" t="n">
        <x:f>IF(AND(J336&lt;&gt;"",L336&lt;&gt;0),J336/L336,"")</x:f>
        <x:v>3.72</x:v>
      </x:c>
      <x:c r="O336" s="45" t="str">
        <x:f>IF(AND(K336&lt;&gt;"",L336&lt;&gt;0),K336/L336,"")</x:f>
      </x:c>
      <x:c r="P336" s="46" t="str">
        <x:f>IF(AND(K336&lt;&gt;"",K336&lt;&gt;0,L336&lt;&gt;""),L336/K336,"")</x:f>
      </x:c>
      <x:c r="Q336" s="46" t="n">
        <x:f>IF(AND(L336&lt;&gt;"",L336&lt;&gt;0,M336&lt;&gt;""),M336/L336,"")</x:f>
        <x:v>0.88</x:v>
      </x:c>
      <x:c r="R336" s="45" t="n">
        <x:f>IF(N336&lt;&gt;"",N336,IF(O336&lt;&gt;"",O336,""))</x:f>
        <x:v>3.72</x:v>
      </x:c>
      <x:c r="S336" s="2" t="str">
        <x:f>IF(N336&lt;&gt;"","志愿/合格",IF(O336&lt;&gt;"","受验/合格",""))</x:f>
        <x:v>志愿/合格</x:v>
      </x:c>
      <x:c r="T336" s="2" t="str">
        <x:v>官方</x:v>
      </x:c>
      <x:c r="U336" s="2" t="str">
        <x:v>高</x:v>
      </x:c>
      <x:c r="V336" s="27" t="str">
        <x:v>歴史と実績 | KBS 慶應義塾大学大学院経営管理研究科</x:v>
      </x:c>
      <x:c r="W336" s="27" t="str">
        <x:v>「統計」／MBAプログラム：入学者数表及び過去3年間の出願数・合格者数表</x:v>
      </x:c>
      <x:c r="X336" s="27" t="str">
        <x:v>https://www.kbs.keio.ac.jp/about/history.html</x:v>
      </x:c>
      <x:c r="Y336" s="27" t="str">
        <x:v>MBA项目精确值；不含EMBA项目。</x:v>
      </x:c>
      <x:c r="Z336" s="47" t="str">
        <x:v>受験者数・募集人員は非掲載。</x:v>
      </x:c>
    </x:row>
    <x:row r="337" ht="38" customHeight="1">
      <x:c r="A337" s="2" t="str">
        <x:v>慶應義塾大学</x:v>
      </x:c>
      <x:c r="B337" s="2" t="str">
        <x:v>経営管理研究科</x:v>
      </x:c>
      <x:c r="C337" s="2" t="str">
        <x:v>MBAプログラム</x:v>
      </x:c>
      <x:c r="D337" s="44" t="n">
        <x:v>2025</x:v>
      </x:c>
      <x:c r="E337" s="27" t="str">
        <x:v>年度合計</x:v>
      </x:c>
      <x:c r="F337" s="27" t="str">
        <x:v>修士課程（MBA）</x:v>
      </x:c>
      <x:c r="G337" s="27" t="str">
        <x:v>MBAプログラム全選抜合計</x:v>
      </x:c>
      <x:c r="H337" s="27" t="str">
        <x:v>专攻/系</x:v>
      </x:c>
      <x:c r="I337" s="44"/>
      <x:c r="J337" s="44" t="n">
        <x:v>182</x:v>
      </x:c>
      <x:c r="K337" s="44"/>
      <x:c r="L337" s="44" t="n">
        <x:v>73</x:v>
      </x:c>
      <x:c r="M337" s="44" t="n">
        <x:v>63</x:v>
      </x:c>
      <x:c r="N337" s="45" t="n">
        <x:f>IF(AND(J337&lt;&gt;"",L337&lt;&gt;0),J337/L337,"")</x:f>
        <x:v>2.493150684931507</x:v>
      </x:c>
      <x:c r="O337" s="45" t="str">
        <x:f>IF(AND(K337&lt;&gt;"",L337&lt;&gt;0),K337/L337,"")</x:f>
      </x:c>
      <x:c r="P337" s="46" t="str">
        <x:f>IF(AND(K337&lt;&gt;"",K337&lt;&gt;0,L337&lt;&gt;""),L337/K337,"")</x:f>
      </x:c>
      <x:c r="Q337" s="46" t="n">
        <x:f>IF(AND(L337&lt;&gt;"",L337&lt;&gt;0,M337&lt;&gt;""),M337/L337,"")</x:f>
        <x:v>0.863013698630137</x:v>
      </x:c>
      <x:c r="R337" s="45" t="n">
        <x:f>IF(N337&lt;&gt;"",N337,IF(O337&lt;&gt;"",O337,""))</x:f>
        <x:v>2.493150684931507</x:v>
      </x:c>
      <x:c r="S337" s="2" t="str">
        <x:f>IF(N337&lt;&gt;"","志愿/合格",IF(O337&lt;&gt;"","受验/合格",""))</x:f>
        <x:v>志愿/合格</x:v>
      </x:c>
      <x:c r="T337" s="2" t="str">
        <x:v>官方</x:v>
      </x:c>
      <x:c r="U337" s="2" t="str">
        <x:v>高</x:v>
      </x:c>
      <x:c r="V337" s="27" t="str">
        <x:v>歴史と実績 | KBS 慶應義塾大学大学院経営管理研究科</x:v>
      </x:c>
      <x:c r="W337" s="27" t="str">
        <x:v>「統計」／MBAプログラム：入学者数表及び過去3年間の出願数・合格者数表</x:v>
      </x:c>
      <x:c r="X337" s="27" t="str">
        <x:v>https://www.kbs.keio.ac.jp/about/history.html</x:v>
      </x:c>
      <x:c r="Y337" s="27" t="str">
        <x:v>MBA项目精确值；不含EMBA项目。</x:v>
      </x:c>
      <x:c r="Z337" s="47" t="str">
        <x:v>受験者数・募集人員は非掲載。</x:v>
      </x:c>
    </x:row>
    <x:row r="338" ht="38" customHeight="1">
      <x:c r="A338" s="2" t="str">
        <x:v>慶應義塾大学</x:v>
      </x:c>
      <x:c r="B338" s="2" t="str">
        <x:v>経営管理研究科</x:v>
      </x:c>
      <x:c r="C338" s="2" t="str">
        <x:v>MBAプログラム</x:v>
      </x:c>
      <x:c r="D338" s="44" t="n">
        <x:v>2026</x:v>
      </x:c>
      <x:c r="E338" s="27" t="str">
        <x:v>年度合計</x:v>
      </x:c>
      <x:c r="F338" s="27" t="str">
        <x:v>修士課程（MBA）</x:v>
      </x:c>
      <x:c r="G338" s="27" t="str">
        <x:v>MBAプログラム全選抜合計</x:v>
      </x:c>
      <x:c r="H338" s="27" t="str">
        <x:v>专攻/系</x:v>
      </x:c>
      <x:c r="I338" s="44"/>
      <x:c r="J338" s="44" t="n">
        <x:v>193</x:v>
      </x:c>
      <x:c r="K338" s="44"/>
      <x:c r="L338" s="44" t="n">
        <x:v>73</x:v>
      </x:c>
      <x:c r="M338" s="44" t="n">
        <x:v>60</x:v>
      </x:c>
      <x:c r="N338" s="45" t="n">
        <x:f>IF(AND(J338&lt;&gt;"",L338&lt;&gt;0),J338/L338,"")</x:f>
        <x:v>2.643835616438356</x:v>
      </x:c>
      <x:c r="O338" s="45" t="str">
        <x:f>IF(AND(K338&lt;&gt;"",L338&lt;&gt;0),K338/L338,"")</x:f>
      </x:c>
      <x:c r="P338" s="46" t="str">
        <x:f>IF(AND(K338&lt;&gt;"",K338&lt;&gt;0,L338&lt;&gt;""),L338/K338,"")</x:f>
      </x:c>
      <x:c r="Q338" s="46" t="n">
        <x:f>IF(AND(L338&lt;&gt;"",L338&lt;&gt;0,M338&lt;&gt;""),M338/L338,"")</x:f>
        <x:v>0.821917808219178</x:v>
      </x:c>
      <x:c r="R338" s="45" t="n">
        <x:f>IF(N338&lt;&gt;"",N338,IF(O338&lt;&gt;"",O338,""))</x:f>
        <x:v>2.643835616438356</x:v>
      </x:c>
      <x:c r="S338" s="2" t="str">
        <x:f>IF(N338&lt;&gt;"","志愿/合格",IF(O338&lt;&gt;"","受验/合格",""))</x:f>
        <x:v>志愿/合格</x:v>
      </x:c>
      <x:c r="T338" s="2" t="str">
        <x:v>官方</x:v>
      </x:c>
      <x:c r="U338" s="2" t="str">
        <x:v>高</x:v>
      </x:c>
      <x:c r="V338" s="27" t="str">
        <x:v>歴史と実績 | KBS 慶應義塾大学大学院経営管理研究科</x:v>
      </x:c>
      <x:c r="W338" s="27" t="str">
        <x:v>「統計」／MBAプログラム：入学者数表及び過去3年間の出願数・合格者数表</x:v>
      </x:c>
      <x:c r="X338" s="27" t="str">
        <x:v>https://www.kbs.keio.ac.jp/about/history.html</x:v>
      </x:c>
      <x:c r="Y338" s="27" t="str">
        <x:v>MBA项目精确值；不含EMBA项目。</x:v>
      </x:c>
      <x:c r="Z338" s="47" t="str">
        <x:v>受験者数・募集人員は非掲載。</x:v>
      </x:c>
    </x:row>
    <x:row r="339" ht="38" customHeight="1">
      <x:c r="A339" s="2" t="str">
        <x:v>神戸大学</x:v>
      </x:c>
      <x:c r="B339" s="2" t="str">
        <x:v>システム情報学研究科</x:v>
      </x:c>
      <x:c r="C339" s="2" t="str">
        <x:v>（研究科合计）</x:v>
      </x:c>
      <x:c r="D339" s="44" t="n">
        <x:v>2022</x:v>
      </x:c>
      <x:c r="E339" s="27" t="str">
        <x:v>4月入学</x:v>
      </x:c>
      <x:c r="F339" s="27" t="str">
        <x:v>博士課程（前期）</x:v>
      </x:c>
      <x:c r="G339" s="27" t="str">
        <x:v>入学者数（選抜区分未分割）</x:v>
      </x:c>
      <x:c r="H339" s="27" t="str">
        <x:v>研究科合计</x:v>
      </x:c>
      <x:c r="I339" s="44"/>
      <x:c r="J339" s="44"/>
      <x:c r="K339" s="44"/>
      <x:c r="L339" s="44"/>
      <x:c r="M339" s="44" t="n">
        <x:v>87</x:v>
      </x:c>
      <x:c r="N339" s="45" t="str">
        <x:f>IF(AND(J339&lt;&gt;"",L339&lt;&gt;0),J339/L339,"")</x:f>
      </x:c>
      <x:c r="O339" s="45" t="str">
        <x:f>IF(AND(K339&lt;&gt;"",L339&lt;&gt;0),K339/L339,"")</x:f>
      </x:c>
      <x:c r="P339" s="46" t="str">
        <x:f>IF(AND(K339&lt;&gt;"",K339&lt;&gt;0,L339&lt;&gt;""),L339/K339,"")</x:f>
      </x:c>
      <x:c r="Q339" s="46" t="str">
        <x:f>IF(AND(L339&lt;&gt;"",L339&lt;&gt;0,M339&lt;&gt;""),M339/L339,"")</x:f>
      </x:c>
      <x:c r="R339" s="45" t="str">
        <x:f>IF(N339&lt;&gt;"",N339,IF(O339&lt;&gt;"",O339,""))</x:f>
      </x:c>
      <x:c r="S339" s="2" t="str">
        <x:f>IF(N339&lt;&gt;"","志愿/合格",IF(O339&lt;&gt;"","受验/合格",""))</x:f>
      </x:c>
      <x:c r="T339" s="2" t="str">
        <x:v>官方</x:v>
      </x:c>
      <x:c r="U339" s="2" t="str">
        <x:v>高</x:v>
      </x:c>
      <x:c r="V339" s="27" t="str">
        <x:v>5 大学院入学状況（神戸大学データ資料集・Power BI）</x:v>
      </x:c>
      <x:c r="W339" s="27" t="str">
        <x:v>Power BI「大学院入学状況」年度=2022、部局=システム情報学研究科、課程=博士課程(前期)、入学時期=春</x:v>
      </x:c>
      <x:c r="X339" s="27" t="str">
        <x:v>https://www.kobe-u.ac.jp/ja/about/datashiryoushuu/5_2025/</x:v>
      </x:c>
      <x:c r="Y339" s="27" t="str">
        <x:v>研究科合計。Power BIの専攻ディメンションは当該集計値を専攻名ごとに反復表示するため、専攻値としては採用していない。</x:v>
      </x:c>
      <x:c r="Z339" s="47" t="str">
        <x:v>公式ダッシュボードで確認できるのは入学者数。志願者・受験者・合格者は未掲載。</x:v>
      </x:c>
    </x:row>
    <x:row r="340" ht="38" customHeight="1">
      <x:c r="A340" s="2" t="str">
        <x:v>神戸大学</x:v>
      </x:c>
      <x:c r="B340" s="2" t="str">
        <x:v>システム情報学研究科</x:v>
      </x:c>
      <x:c r="C340" s="2" t="str">
        <x:v>（研究科合计）</x:v>
      </x:c>
      <x:c r="D340" s="44" t="n">
        <x:v>2023</x:v>
      </x:c>
      <x:c r="E340" s="27" t="str">
        <x:v>4月入学</x:v>
      </x:c>
      <x:c r="F340" s="27" t="str">
        <x:v>博士課程（前期）</x:v>
      </x:c>
      <x:c r="G340" s="27" t="str">
        <x:v>入学者数（選抜区分未分割）</x:v>
      </x:c>
      <x:c r="H340" s="27" t="str">
        <x:v>研究科合计</x:v>
      </x:c>
      <x:c r="I340" s="44"/>
      <x:c r="J340" s="44"/>
      <x:c r="K340" s="44"/>
      <x:c r="L340" s="44"/>
      <x:c r="M340" s="44" t="n">
        <x:v>84</x:v>
      </x:c>
      <x:c r="N340" s="45" t="str">
        <x:f>IF(AND(J340&lt;&gt;"",L340&lt;&gt;0),J340/L340,"")</x:f>
      </x:c>
      <x:c r="O340" s="45" t="str">
        <x:f>IF(AND(K340&lt;&gt;"",L340&lt;&gt;0),K340/L340,"")</x:f>
      </x:c>
      <x:c r="P340" s="46" t="str">
        <x:f>IF(AND(K340&lt;&gt;"",K340&lt;&gt;0,L340&lt;&gt;""),L340/K340,"")</x:f>
      </x:c>
      <x:c r="Q340" s="46" t="str">
        <x:f>IF(AND(L340&lt;&gt;"",L340&lt;&gt;0,M340&lt;&gt;""),M340/L340,"")</x:f>
      </x:c>
      <x:c r="R340" s="45" t="str">
        <x:f>IF(N340&lt;&gt;"",N340,IF(O340&lt;&gt;"",O340,""))</x:f>
      </x:c>
      <x:c r="S340" s="2" t="str">
        <x:f>IF(N340&lt;&gt;"","志愿/合格",IF(O340&lt;&gt;"","受验/合格",""))</x:f>
      </x:c>
      <x:c r="T340" s="2" t="str">
        <x:v>官方</x:v>
      </x:c>
      <x:c r="U340" s="2" t="str">
        <x:v>高</x:v>
      </x:c>
      <x:c r="V340" s="27" t="str">
        <x:v>5 大学院入学状況（神戸大学データ資料集・Power BI）</x:v>
      </x:c>
      <x:c r="W340" s="27" t="str">
        <x:v>Power BI「大学院入学状況」年度=2023、部局=システム情報学研究科、課程=博士課程(前期)、入学時期=春</x:v>
      </x:c>
      <x:c r="X340" s="27" t="str">
        <x:v>https://www.kobe-u.ac.jp/ja/about/datashiryoushuu/5_2025/</x:v>
      </x:c>
      <x:c r="Y340" s="27" t="str">
        <x:v>研究科合計。Power BIの専攻ディメンションは当該集計値を専攻名ごとに反復表示するため、専攻値としては採用していない。</x:v>
      </x:c>
      <x:c r="Z340" s="47" t="str">
        <x:v>公式ダッシュボードで確認できるのは入学者数。志願者・受験者・合格者は未掲載。</x:v>
      </x:c>
    </x:row>
    <x:row r="341" ht="38" customHeight="1">
      <x:c r="A341" s="2" t="str">
        <x:v>神戸大学</x:v>
      </x:c>
      <x:c r="B341" s="2" t="str">
        <x:v>システム情報学研究科</x:v>
      </x:c>
      <x:c r="C341" s="2" t="str">
        <x:v>（研究科合计）</x:v>
      </x:c>
      <x:c r="D341" s="44" t="n">
        <x:v>2024</x:v>
      </x:c>
      <x:c r="E341" s="27" t="str">
        <x:v>4月入学</x:v>
      </x:c>
      <x:c r="F341" s="27" t="str">
        <x:v>博士課程（前期）</x:v>
      </x:c>
      <x:c r="G341" s="27" t="str">
        <x:v>入学者数（選抜区分未分割）</x:v>
      </x:c>
      <x:c r="H341" s="27" t="str">
        <x:v>研究科合计</x:v>
      </x:c>
      <x:c r="I341" s="44"/>
      <x:c r="J341" s="44"/>
      <x:c r="K341" s="44"/>
      <x:c r="L341" s="44"/>
      <x:c r="M341" s="44" t="n">
        <x:v>97</x:v>
      </x:c>
      <x:c r="N341" s="45" t="str">
        <x:f>IF(AND(J341&lt;&gt;"",L341&lt;&gt;0),J341/L341,"")</x:f>
      </x:c>
      <x:c r="O341" s="45" t="str">
        <x:f>IF(AND(K341&lt;&gt;"",L341&lt;&gt;0),K341/L341,"")</x:f>
      </x:c>
      <x:c r="P341" s="46" t="str">
        <x:f>IF(AND(K341&lt;&gt;"",K341&lt;&gt;0,L341&lt;&gt;""),L341/K341,"")</x:f>
      </x:c>
      <x:c r="Q341" s="46" t="str">
        <x:f>IF(AND(L341&lt;&gt;"",L341&lt;&gt;0,M341&lt;&gt;""),M341/L341,"")</x:f>
      </x:c>
      <x:c r="R341" s="45" t="str">
        <x:f>IF(N341&lt;&gt;"",N341,IF(O341&lt;&gt;"",O341,""))</x:f>
      </x:c>
      <x:c r="S341" s="2" t="str">
        <x:f>IF(N341&lt;&gt;"","志愿/合格",IF(O341&lt;&gt;"","受验/合格",""))</x:f>
      </x:c>
      <x:c r="T341" s="2" t="str">
        <x:v>官方</x:v>
      </x:c>
      <x:c r="U341" s="2" t="str">
        <x:v>高</x:v>
      </x:c>
      <x:c r="V341" s="27" t="str">
        <x:v>5 大学院入学状況（神戸大学データ資料集・Power BI）</x:v>
      </x:c>
      <x:c r="W341" s="27" t="str">
        <x:v>Power BI「大学院入学状況」年度=2024、部局=システム情報学研究科、課程=博士課程(前期)、入学時期=春</x:v>
      </x:c>
      <x:c r="X341" s="27" t="str">
        <x:v>https://www.kobe-u.ac.jp/ja/about/datashiryoushuu/5_2025/</x:v>
      </x:c>
      <x:c r="Y341" s="27" t="str">
        <x:v>研究科合計。Power BIの専攻ディメンションは当該集計値を専攻名ごとに反復表示するため、専攻値としては採用していない。</x:v>
      </x:c>
      <x:c r="Z341" s="47" t="str">
        <x:v>公式ダッシュボードで確認できるのは入学者数。志願者・受験者・合格者は未掲載。</x:v>
      </x:c>
    </x:row>
    <x:row r="342" ht="38" customHeight="1">
      <x:c r="A342" s="2" t="str">
        <x:v>神戸大学</x:v>
      </x:c>
      <x:c r="B342" s="2" t="str">
        <x:v>システム情報学研究科</x:v>
      </x:c>
      <x:c r="C342" s="2" t="str">
        <x:v>（研究科合计）</x:v>
      </x:c>
      <x:c r="D342" s="44" t="n">
        <x:v>2025</x:v>
      </x:c>
      <x:c r="E342" s="27" t="str">
        <x:v>4月入学</x:v>
      </x:c>
      <x:c r="F342" s="27" t="str">
        <x:v>博士課程（前期）</x:v>
      </x:c>
      <x:c r="G342" s="27" t="str">
        <x:v>入学者数（選抜区分未分割）</x:v>
      </x:c>
      <x:c r="H342" s="27" t="str">
        <x:v>研究科合计</x:v>
      </x:c>
      <x:c r="I342" s="44"/>
      <x:c r="J342" s="44"/>
      <x:c r="K342" s="44"/>
      <x:c r="L342" s="44"/>
      <x:c r="M342" s="44" t="n">
        <x:v>98</x:v>
      </x:c>
      <x:c r="N342" s="45" t="str">
        <x:f>IF(AND(J342&lt;&gt;"",L342&lt;&gt;0),J342/L342,"")</x:f>
      </x:c>
      <x:c r="O342" s="45" t="str">
        <x:f>IF(AND(K342&lt;&gt;"",L342&lt;&gt;0),K342/L342,"")</x:f>
      </x:c>
      <x:c r="P342" s="46" t="str">
        <x:f>IF(AND(K342&lt;&gt;"",K342&lt;&gt;0,L342&lt;&gt;""),L342/K342,"")</x:f>
      </x:c>
      <x:c r="Q342" s="46" t="str">
        <x:f>IF(AND(L342&lt;&gt;"",L342&lt;&gt;0,M342&lt;&gt;""),M342/L342,"")</x:f>
      </x:c>
      <x:c r="R342" s="45" t="str">
        <x:f>IF(N342&lt;&gt;"",N342,IF(O342&lt;&gt;"",O342,""))</x:f>
      </x:c>
      <x:c r="S342" s="2" t="str">
        <x:f>IF(N342&lt;&gt;"","志愿/合格",IF(O342&lt;&gt;"","受验/合格",""))</x:f>
      </x:c>
      <x:c r="T342" s="2" t="str">
        <x:v>官方</x:v>
      </x:c>
      <x:c r="U342" s="2" t="str">
        <x:v>高</x:v>
      </x:c>
      <x:c r="V342" s="27" t="str">
        <x:v>5 大学院入学状況（神戸大学データ資料集・Power BI）</x:v>
      </x:c>
      <x:c r="W342" s="27" t="str">
        <x:v>Power BI「大学院入学状況」年度=2025、部局=システム情報学研究科、課程=博士課程(前期)、入学時期=春</x:v>
      </x:c>
      <x:c r="X342" s="27" t="str">
        <x:v>https://www.kobe-u.ac.jp/ja/about/datashiryoushuu/5_2025/</x:v>
      </x:c>
      <x:c r="Y342" s="27" t="str">
        <x:v>研究科合計。Power BIの専攻ディメンションは当該集計値を専攻名ごとに反復表示するため、専攻値としては採用していない。</x:v>
      </x:c>
      <x:c r="Z342" s="47" t="str">
        <x:v>公式ダッシュボードで確認できるのは入学者数。志願者・受験者・合格者は未掲載。</x:v>
      </x:c>
    </x:row>
    <x:row r="343" ht="38" customHeight="1">
      <x:c r="A343" s="2" t="str">
        <x:v>神戸大学</x:v>
      </x:c>
      <x:c r="B343" s="2" t="str">
        <x:v>経済学研究科</x:v>
      </x:c>
      <x:c r="C343" s="2" t="str">
        <x:v>（研究科合计）</x:v>
      </x:c>
      <x:c r="D343" s="44" t="n">
        <x:v>2022</x:v>
      </x:c>
      <x:c r="E343" s="27" t="str">
        <x:v>10月入学</x:v>
      </x:c>
      <x:c r="F343" s="27" t="str">
        <x:v>博士課程（前期）</x:v>
      </x:c>
      <x:c r="G343" s="27" t="str">
        <x:v>入学者数（選抜区分未分割）</x:v>
      </x:c>
      <x:c r="H343" s="27" t="str">
        <x:v>研究科合计</x:v>
      </x:c>
      <x:c r="I343" s="44"/>
      <x:c r="J343" s="44"/>
      <x:c r="K343" s="44"/>
      <x:c r="L343" s="44"/>
      <x:c r="M343" s="44" t="n">
        <x:v>6</x:v>
      </x:c>
      <x:c r="N343" s="45" t="str">
        <x:f>IF(AND(J343&lt;&gt;"",L343&lt;&gt;0),J343/L343,"")</x:f>
      </x:c>
      <x:c r="O343" s="45" t="str">
        <x:f>IF(AND(K343&lt;&gt;"",L343&lt;&gt;0),K343/L343,"")</x:f>
      </x:c>
      <x:c r="P343" s="46" t="str">
        <x:f>IF(AND(K343&lt;&gt;"",K343&lt;&gt;0,L343&lt;&gt;""),L343/K343,"")</x:f>
      </x:c>
      <x:c r="Q343" s="46" t="str">
        <x:f>IF(AND(L343&lt;&gt;"",L343&lt;&gt;0,M343&lt;&gt;""),M343/L343,"")</x:f>
      </x:c>
      <x:c r="R343" s="45" t="str">
        <x:f>IF(N343&lt;&gt;"",N343,IF(O343&lt;&gt;"",O343,""))</x:f>
      </x:c>
      <x:c r="S343" s="2" t="str">
        <x:f>IF(N343&lt;&gt;"","志愿/合格",IF(O343&lt;&gt;"","受验/合格",""))</x:f>
      </x:c>
      <x:c r="T343" s="2" t="str">
        <x:v>官方</x:v>
      </x:c>
      <x:c r="U343" s="2" t="str">
        <x:v>高</x:v>
      </x:c>
      <x:c r="V343" s="27" t="str">
        <x:v>5 大学院入学状況（神戸大学データ資料集・Power BI）</x:v>
      </x:c>
      <x:c r="W343" s="27" t="str">
        <x:v>Power BI「大学院入学状況」年度=2022、部局=経済学研究科、課程=博士課程(前期)、入学時期=秋</x:v>
      </x:c>
      <x:c r="X343" s="27" t="str">
        <x:v>https://www.kobe-u.ac.jp/ja/about/datashiryoushuu/5_2025/</x:v>
      </x:c>
      <x:c r="Y343" s="27" t="str">
        <x:v>研究科合計。Power BIの専攻ディメンションは当該集計値を専攻名ごとに反復表示するため、専攻値としては採用していない。</x:v>
      </x:c>
      <x:c r="Z343" s="47" t="str">
        <x:v>公式ダッシュボードで確認できるのは入学者数。志願者・受験者・合格者は未掲載。</x:v>
      </x:c>
    </x:row>
    <x:row r="344" ht="38" customHeight="1">
      <x:c r="A344" s="2" t="str">
        <x:v>神戸大学</x:v>
      </x:c>
      <x:c r="B344" s="2" t="str">
        <x:v>経済学研究科</x:v>
      </x:c>
      <x:c r="C344" s="2" t="str">
        <x:v>（研究科合计）</x:v>
      </x:c>
      <x:c r="D344" s="44" t="n">
        <x:v>2022</x:v>
      </x:c>
      <x:c r="E344" s="27" t="str">
        <x:v>4月入学</x:v>
      </x:c>
      <x:c r="F344" s="27" t="str">
        <x:v>博士課程（前期）</x:v>
      </x:c>
      <x:c r="G344" s="27" t="str">
        <x:v>入学者数（選抜区分未分割）</x:v>
      </x:c>
      <x:c r="H344" s="27" t="str">
        <x:v>研究科合计</x:v>
      </x:c>
      <x:c r="I344" s="44"/>
      <x:c r="J344" s="44"/>
      <x:c r="K344" s="44"/>
      <x:c r="L344" s="44"/>
      <x:c r="M344" s="44" t="n">
        <x:v>49</x:v>
      </x:c>
      <x:c r="N344" s="45" t="str">
        <x:f>IF(AND(J344&lt;&gt;"",L344&lt;&gt;0),J344/L344,"")</x:f>
      </x:c>
      <x:c r="O344" s="45" t="str">
        <x:f>IF(AND(K344&lt;&gt;"",L344&lt;&gt;0),K344/L344,"")</x:f>
      </x:c>
      <x:c r="P344" s="46" t="str">
        <x:f>IF(AND(K344&lt;&gt;"",K344&lt;&gt;0,L344&lt;&gt;""),L344/K344,"")</x:f>
      </x:c>
      <x:c r="Q344" s="46" t="str">
        <x:f>IF(AND(L344&lt;&gt;"",L344&lt;&gt;0,M344&lt;&gt;""),M344/L344,"")</x:f>
      </x:c>
      <x:c r="R344" s="45" t="str">
        <x:f>IF(N344&lt;&gt;"",N344,IF(O344&lt;&gt;"",O344,""))</x:f>
      </x:c>
      <x:c r="S344" s="2" t="str">
        <x:f>IF(N344&lt;&gt;"","志愿/合格",IF(O344&lt;&gt;"","受验/合格",""))</x:f>
      </x:c>
      <x:c r="T344" s="2" t="str">
        <x:v>官方</x:v>
      </x:c>
      <x:c r="U344" s="2" t="str">
        <x:v>高</x:v>
      </x:c>
      <x:c r="V344" s="27" t="str">
        <x:v>5 大学院入学状況（神戸大学データ資料集・Power BI）</x:v>
      </x:c>
      <x:c r="W344" s="27" t="str">
        <x:v>Power BI「大学院入学状況」年度=2022、部局=経済学研究科、課程=博士課程(前期)、入学時期=春</x:v>
      </x:c>
      <x:c r="X344" s="27" t="str">
        <x:v>https://www.kobe-u.ac.jp/ja/about/datashiryoushuu/5_2025/</x:v>
      </x:c>
      <x:c r="Y344" s="27" t="str">
        <x:v>研究科合計。Power BIの専攻ディメンションは当該集計値を専攻名ごとに反復表示するため、専攻値としては採用していない。</x:v>
      </x:c>
      <x:c r="Z344" s="47" t="str">
        <x:v>公式ダッシュボードで確認できるのは入学者数。志願者・受験者・合格者は未掲載。</x:v>
      </x:c>
    </x:row>
    <x:row r="345" ht="38" customHeight="1">
      <x:c r="A345" s="2" t="str">
        <x:v>神戸大学</x:v>
      </x:c>
      <x:c r="B345" s="2" t="str">
        <x:v>経済学研究科</x:v>
      </x:c>
      <x:c r="C345" s="2" t="str">
        <x:v>（研究科合计）</x:v>
      </x:c>
      <x:c r="D345" s="44" t="n">
        <x:v>2023</x:v>
      </x:c>
      <x:c r="E345" s="27" t="str">
        <x:v>10月入学</x:v>
      </x:c>
      <x:c r="F345" s="27" t="str">
        <x:v>博士課程（前期）</x:v>
      </x:c>
      <x:c r="G345" s="27" t="str">
        <x:v>入学者数（選抜区分未分割）</x:v>
      </x:c>
      <x:c r="H345" s="27" t="str">
        <x:v>研究科合计</x:v>
      </x:c>
      <x:c r="I345" s="44"/>
      <x:c r="J345" s="44"/>
      <x:c r="K345" s="44"/>
      <x:c r="L345" s="44"/>
      <x:c r="M345" s="44" t="n">
        <x:v>10</x:v>
      </x:c>
      <x:c r="N345" s="45" t="str">
        <x:f>IF(AND(J345&lt;&gt;"",L345&lt;&gt;0),J345/L345,"")</x:f>
      </x:c>
      <x:c r="O345" s="45" t="str">
        <x:f>IF(AND(K345&lt;&gt;"",L345&lt;&gt;0),K345/L345,"")</x:f>
      </x:c>
      <x:c r="P345" s="46" t="str">
        <x:f>IF(AND(K345&lt;&gt;"",K345&lt;&gt;0,L345&lt;&gt;""),L345/K345,"")</x:f>
      </x:c>
      <x:c r="Q345" s="46" t="str">
        <x:f>IF(AND(L345&lt;&gt;"",L345&lt;&gt;0,M345&lt;&gt;""),M345/L345,"")</x:f>
      </x:c>
      <x:c r="R345" s="45" t="str">
        <x:f>IF(N345&lt;&gt;"",N345,IF(O345&lt;&gt;"",O345,""))</x:f>
      </x:c>
      <x:c r="S345" s="2" t="str">
        <x:f>IF(N345&lt;&gt;"","志愿/合格",IF(O345&lt;&gt;"","受验/合格",""))</x:f>
      </x:c>
      <x:c r="T345" s="2" t="str">
        <x:v>官方</x:v>
      </x:c>
      <x:c r="U345" s="2" t="str">
        <x:v>高</x:v>
      </x:c>
      <x:c r="V345" s="27" t="str">
        <x:v>5 大学院入学状況（神戸大学データ資料集・Power BI）</x:v>
      </x:c>
      <x:c r="W345" s="27" t="str">
        <x:v>Power BI「大学院入学状況」年度=2023、部局=経済学研究科、課程=博士課程(前期)、入学時期=秋</x:v>
      </x:c>
      <x:c r="X345" s="27" t="str">
        <x:v>https://www.kobe-u.ac.jp/ja/about/datashiryoushuu/5_2025/</x:v>
      </x:c>
      <x:c r="Y345" s="27" t="str">
        <x:v>研究科合計。Power BIの専攻ディメンションは当該集計値を専攻名ごとに反復表示するため、専攻値としては採用していない。</x:v>
      </x:c>
      <x:c r="Z345" s="47" t="str">
        <x:v>公式ダッシュボードで確認できるのは入学者数。志願者・受験者・合格者は未掲載。</x:v>
      </x:c>
    </x:row>
    <x:row r="346" ht="38" customHeight="1">
      <x:c r="A346" s="2" t="str">
        <x:v>神戸大学</x:v>
      </x:c>
      <x:c r="B346" s="2" t="str">
        <x:v>経済学研究科</x:v>
      </x:c>
      <x:c r="C346" s="2" t="str">
        <x:v>（研究科合计）</x:v>
      </x:c>
      <x:c r="D346" s="44" t="n">
        <x:v>2023</x:v>
      </x:c>
      <x:c r="E346" s="27" t="str">
        <x:v>4月入学</x:v>
      </x:c>
      <x:c r="F346" s="27" t="str">
        <x:v>博士課程（前期）</x:v>
      </x:c>
      <x:c r="G346" s="27" t="str">
        <x:v>入学者数（選抜区分未分割）</x:v>
      </x:c>
      <x:c r="H346" s="27" t="str">
        <x:v>研究科合计</x:v>
      </x:c>
      <x:c r="I346" s="44"/>
      <x:c r="J346" s="44"/>
      <x:c r="K346" s="44"/>
      <x:c r="L346" s="44"/>
      <x:c r="M346" s="44" t="n">
        <x:v>55</x:v>
      </x:c>
      <x:c r="N346" s="45" t="str">
        <x:f>IF(AND(J346&lt;&gt;"",L346&lt;&gt;0),J346/L346,"")</x:f>
      </x:c>
      <x:c r="O346" s="45" t="str">
        <x:f>IF(AND(K346&lt;&gt;"",L346&lt;&gt;0),K346/L346,"")</x:f>
      </x:c>
      <x:c r="P346" s="46" t="str">
        <x:f>IF(AND(K346&lt;&gt;"",K346&lt;&gt;0,L346&lt;&gt;""),L346/K346,"")</x:f>
      </x:c>
      <x:c r="Q346" s="46" t="str">
        <x:f>IF(AND(L346&lt;&gt;"",L346&lt;&gt;0,M346&lt;&gt;""),M346/L346,"")</x:f>
      </x:c>
      <x:c r="R346" s="45" t="str">
        <x:f>IF(N346&lt;&gt;"",N346,IF(O346&lt;&gt;"",O346,""))</x:f>
      </x:c>
      <x:c r="S346" s="2" t="str">
        <x:f>IF(N346&lt;&gt;"","志愿/合格",IF(O346&lt;&gt;"","受验/合格",""))</x:f>
      </x:c>
      <x:c r="T346" s="2" t="str">
        <x:v>官方</x:v>
      </x:c>
      <x:c r="U346" s="2" t="str">
        <x:v>高</x:v>
      </x:c>
      <x:c r="V346" s="27" t="str">
        <x:v>5 大学院入学状況（神戸大学データ資料集・Power BI）</x:v>
      </x:c>
      <x:c r="W346" s="27" t="str">
        <x:v>Power BI「大学院入学状況」年度=2023、部局=経済学研究科、課程=博士課程(前期)、入学時期=春</x:v>
      </x:c>
      <x:c r="X346" s="27" t="str">
        <x:v>https://www.kobe-u.ac.jp/ja/about/datashiryoushuu/5_2025/</x:v>
      </x:c>
      <x:c r="Y346" s="27" t="str">
        <x:v>研究科合計。Power BIの専攻ディメンションは当該集計値を専攻名ごとに反復表示するため、専攻値としては採用していない。</x:v>
      </x:c>
      <x:c r="Z346" s="47" t="str">
        <x:v>公式ダッシュボードで確認できるのは入学者数。志願者・受験者・合格者は未掲載。</x:v>
      </x:c>
    </x:row>
    <x:row r="347" ht="38" customHeight="1">
      <x:c r="A347" s="2" t="str">
        <x:v>神戸大学</x:v>
      </x:c>
      <x:c r="B347" s="2" t="str">
        <x:v>経済学研究科</x:v>
      </x:c>
      <x:c r="C347" s="2" t="str">
        <x:v>（研究科合计）</x:v>
      </x:c>
      <x:c r="D347" s="44" t="n">
        <x:v>2024</x:v>
      </x:c>
      <x:c r="E347" s="27" t="str">
        <x:v>10月入学</x:v>
      </x:c>
      <x:c r="F347" s="27" t="str">
        <x:v>博士課程（前期）</x:v>
      </x:c>
      <x:c r="G347" s="27" t="str">
        <x:v>入学者数（選抜区分未分割）</x:v>
      </x:c>
      <x:c r="H347" s="27" t="str">
        <x:v>研究科合计</x:v>
      </x:c>
      <x:c r="I347" s="44"/>
      <x:c r="J347" s="44"/>
      <x:c r="K347" s="44"/>
      <x:c r="L347" s="44"/>
      <x:c r="M347" s="44" t="n">
        <x:v>11</x:v>
      </x:c>
      <x:c r="N347" s="45" t="str">
        <x:f>IF(AND(J347&lt;&gt;"",L347&lt;&gt;0),J347/L347,"")</x:f>
      </x:c>
      <x:c r="O347" s="45" t="str">
        <x:f>IF(AND(K347&lt;&gt;"",L347&lt;&gt;0),K347/L347,"")</x:f>
      </x:c>
      <x:c r="P347" s="46" t="str">
        <x:f>IF(AND(K347&lt;&gt;"",K347&lt;&gt;0,L347&lt;&gt;""),L347/K347,"")</x:f>
      </x:c>
      <x:c r="Q347" s="46" t="str">
        <x:f>IF(AND(L347&lt;&gt;"",L347&lt;&gt;0,M347&lt;&gt;""),M347/L347,"")</x:f>
      </x:c>
      <x:c r="R347" s="45" t="str">
        <x:f>IF(N347&lt;&gt;"",N347,IF(O347&lt;&gt;"",O347,""))</x:f>
      </x:c>
      <x:c r="S347" s="2" t="str">
        <x:f>IF(N347&lt;&gt;"","志愿/合格",IF(O347&lt;&gt;"","受验/合格",""))</x:f>
      </x:c>
      <x:c r="T347" s="2" t="str">
        <x:v>官方</x:v>
      </x:c>
      <x:c r="U347" s="2" t="str">
        <x:v>高</x:v>
      </x:c>
      <x:c r="V347" s="27" t="str">
        <x:v>5 大学院入学状況（神戸大学データ資料集・Power BI）</x:v>
      </x:c>
      <x:c r="W347" s="27" t="str">
        <x:v>Power BI「大学院入学状況」年度=2024、部局=経済学研究科、課程=博士課程(前期)、入学時期=秋</x:v>
      </x:c>
      <x:c r="X347" s="27" t="str">
        <x:v>https://www.kobe-u.ac.jp/ja/about/datashiryoushuu/5_2025/</x:v>
      </x:c>
      <x:c r="Y347" s="27" t="str">
        <x:v>研究科合計。Power BIの専攻ディメンションは当該集計値を専攻名ごとに反復表示するため、専攻値としては採用していない。</x:v>
      </x:c>
      <x:c r="Z347" s="47" t="str">
        <x:v>公式ダッシュボードで確認できるのは入学者数。志願者・受験者・合格者は未掲載。</x:v>
      </x:c>
    </x:row>
    <x:row r="348" ht="38" customHeight="1">
      <x:c r="A348" s="2" t="str">
        <x:v>神戸大学</x:v>
      </x:c>
      <x:c r="B348" s="2" t="str">
        <x:v>経済学研究科</x:v>
      </x:c>
      <x:c r="C348" s="2" t="str">
        <x:v>（研究科合计）</x:v>
      </x:c>
      <x:c r="D348" s="44" t="n">
        <x:v>2024</x:v>
      </x:c>
      <x:c r="E348" s="27" t="str">
        <x:v>4月入学</x:v>
      </x:c>
      <x:c r="F348" s="27" t="str">
        <x:v>博士課程（前期）</x:v>
      </x:c>
      <x:c r="G348" s="27" t="str">
        <x:v>入学者数（選抜区分未分割）</x:v>
      </x:c>
      <x:c r="H348" s="27" t="str">
        <x:v>研究科合计</x:v>
      </x:c>
      <x:c r="I348" s="44"/>
      <x:c r="J348" s="44"/>
      <x:c r="K348" s="44"/>
      <x:c r="L348" s="44"/>
      <x:c r="M348" s="44" t="n">
        <x:v>74</x:v>
      </x:c>
      <x:c r="N348" s="45" t="str">
        <x:f>IF(AND(J348&lt;&gt;"",L348&lt;&gt;0),J348/L348,"")</x:f>
      </x:c>
      <x:c r="O348" s="45" t="str">
        <x:f>IF(AND(K348&lt;&gt;"",L348&lt;&gt;0),K348/L348,"")</x:f>
      </x:c>
      <x:c r="P348" s="46" t="str">
        <x:f>IF(AND(K348&lt;&gt;"",K348&lt;&gt;0,L348&lt;&gt;""),L348/K348,"")</x:f>
      </x:c>
      <x:c r="Q348" s="46" t="str">
        <x:f>IF(AND(L348&lt;&gt;"",L348&lt;&gt;0,M348&lt;&gt;""),M348/L348,"")</x:f>
      </x:c>
      <x:c r="R348" s="45" t="str">
        <x:f>IF(N348&lt;&gt;"",N348,IF(O348&lt;&gt;"",O348,""))</x:f>
      </x:c>
      <x:c r="S348" s="2" t="str">
        <x:f>IF(N348&lt;&gt;"","志愿/合格",IF(O348&lt;&gt;"","受验/合格",""))</x:f>
      </x:c>
      <x:c r="T348" s="2" t="str">
        <x:v>官方</x:v>
      </x:c>
      <x:c r="U348" s="2" t="str">
        <x:v>高</x:v>
      </x:c>
      <x:c r="V348" s="27" t="str">
        <x:v>5 大学院入学状況（神戸大学データ資料集・Power BI）</x:v>
      </x:c>
      <x:c r="W348" s="27" t="str">
        <x:v>Power BI「大学院入学状況」年度=2024、部局=経済学研究科、課程=博士課程(前期)、入学時期=春</x:v>
      </x:c>
      <x:c r="X348" s="27" t="str">
        <x:v>https://www.kobe-u.ac.jp/ja/about/datashiryoushuu/5_2025/</x:v>
      </x:c>
      <x:c r="Y348" s="27" t="str">
        <x:v>研究科合計。Power BIの専攻ディメンションは当該集計値を専攻名ごとに反復表示するため、専攻値としては採用していない。</x:v>
      </x:c>
      <x:c r="Z348" s="47" t="str">
        <x:v>公式ダッシュボードで確認できるのは入学者数。志願者・受験者・合格者は未掲載。</x:v>
      </x:c>
    </x:row>
    <x:row r="349" ht="38" customHeight="1">
      <x:c r="A349" s="2" t="str">
        <x:v>神戸大学</x:v>
      </x:c>
      <x:c r="B349" s="2" t="str">
        <x:v>経済学研究科</x:v>
      </x:c>
      <x:c r="C349" s="2" t="str">
        <x:v>（研究科合计）</x:v>
      </x:c>
      <x:c r="D349" s="44" t="n">
        <x:v>2025</x:v>
      </x:c>
      <x:c r="E349" s="27" t="str">
        <x:v>10月入学</x:v>
      </x:c>
      <x:c r="F349" s="27" t="str">
        <x:v>博士課程（前期）</x:v>
      </x:c>
      <x:c r="G349" s="27" t="str">
        <x:v>入学者数（選抜区分未分割）</x:v>
      </x:c>
      <x:c r="H349" s="27" t="str">
        <x:v>研究科合计</x:v>
      </x:c>
      <x:c r="I349" s="44"/>
      <x:c r="J349" s="44"/>
      <x:c r="K349" s="44"/>
      <x:c r="L349" s="44"/>
      <x:c r="M349" s="44" t="n">
        <x:v>14</x:v>
      </x:c>
      <x:c r="N349" s="45" t="str">
        <x:f>IF(AND(J349&lt;&gt;"",L349&lt;&gt;0),J349/L349,"")</x:f>
      </x:c>
      <x:c r="O349" s="45" t="str">
        <x:f>IF(AND(K349&lt;&gt;"",L349&lt;&gt;0),K349/L349,"")</x:f>
      </x:c>
      <x:c r="P349" s="46" t="str">
        <x:f>IF(AND(K349&lt;&gt;"",K349&lt;&gt;0,L349&lt;&gt;""),L349/K349,"")</x:f>
      </x:c>
      <x:c r="Q349" s="46" t="str">
        <x:f>IF(AND(L349&lt;&gt;"",L349&lt;&gt;0,M349&lt;&gt;""),M349/L349,"")</x:f>
      </x:c>
      <x:c r="R349" s="45" t="str">
        <x:f>IF(N349&lt;&gt;"",N349,IF(O349&lt;&gt;"",O349,""))</x:f>
      </x:c>
      <x:c r="S349" s="2" t="str">
        <x:f>IF(N349&lt;&gt;"","志愿/合格",IF(O349&lt;&gt;"","受验/合格",""))</x:f>
      </x:c>
      <x:c r="T349" s="2" t="str">
        <x:v>官方</x:v>
      </x:c>
      <x:c r="U349" s="2" t="str">
        <x:v>高</x:v>
      </x:c>
      <x:c r="V349" s="27" t="str">
        <x:v>5 大学院入学状況（神戸大学データ資料集・Power BI）</x:v>
      </x:c>
      <x:c r="W349" s="27" t="str">
        <x:v>Power BI「大学院入学状況」年度=2025、部局=経済学研究科、課程=博士課程(前期)、入学時期=秋</x:v>
      </x:c>
      <x:c r="X349" s="27" t="str">
        <x:v>https://www.kobe-u.ac.jp/ja/about/datashiryoushuu/5_2025/</x:v>
      </x:c>
      <x:c r="Y349" s="27" t="str">
        <x:v>研究科合計。Power BIの専攻ディメンションは当該集計値を専攻名ごとに反復表示するため、専攻値としては採用していない。</x:v>
      </x:c>
      <x:c r="Z349" s="47" t="str">
        <x:v>公式ダッシュボードで確認できるのは入学者数。志願者・受験者・合格者は未掲載。</x:v>
      </x:c>
    </x:row>
    <x:row r="350" ht="38" customHeight="1">
      <x:c r="A350" s="2" t="str">
        <x:v>神戸大学</x:v>
      </x:c>
      <x:c r="B350" s="2" t="str">
        <x:v>経済学研究科</x:v>
      </x:c>
      <x:c r="C350" s="2" t="str">
        <x:v>（研究科合计）</x:v>
      </x:c>
      <x:c r="D350" s="44" t="n">
        <x:v>2025</x:v>
      </x:c>
      <x:c r="E350" s="27" t="str">
        <x:v>4月入学</x:v>
      </x:c>
      <x:c r="F350" s="27" t="str">
        <x:v>博士課程（前期）</x:v>
      </x:c>
      <x:c r="G350" s="27" t="str">
        <x:v>入学者数（選抜区分未分割）</x:v>
      </x:c>
      <x:c r="H350" s="27" t="str">
        <x:v>研究科合计</x:v>
      </x:c>
      <x:c r="I350" s="44"/>
      <x:c r="J350" s="44"/>
      <x:c r="K350" s="44"/>
      <x:c r="L350" s="44"/>
      <x:c r="M350" s="44" t="n">
        <x:v>77</x:v>
      </x:c>
      <x:c r="N350" s="45" t="str">
        <x:f>IF(AND(J350&lt;&gt;"",L350&lt;&gt;0),J350/L350,"")</x:f>
      </x:c>
      <x:c r="O350" s="45" t="str">
        <x:f>IF(AND(K350&lt;&gt;"",L350&lt;&gt;0),K350/L350,"")</x:f>
      </x:c>
      <x:c r="P350" s="46" t="str">
        <x:f>IF(AND(K350&lt;&gt;"",K350&lt;&gt;0,L350&lt;&gt;""),L350/K350,"")</x:f>
      </x:c>
      <x:c r="Q350" s="46" t="str">
        <x:f>IF(AND(L350&lt;&gt;"",L350&lt;&gt;0,M350&lt;&gt;""),M350/L350,"")</x:f>
      </x:c>
      <x:c r="R350" s="45" t="str">
        <x:f>IF(N350&lt;&gt;"",N350,IF(O350&lt;&gt;"",O350,""))</x:f>
      </x:c>
      <x:c r="S350" s="2" t="str">
        <x:f>IF(N350&lt;&gt;"","志愿/合格",IF(O350&lt;&gt;"","受验/合格",""))</x:f>
      </x:c>
      <x:c r="T350" s="2" t="str">
        <x:v>官方</x:v>
      </x:c>
      <x:c r="U350" s="2" t="str">
        <x:v>高</x:v>
      </x:c>
      <x:c r="V350" s="27" t="str">
        <x:v>5 大学院入学状況（神戸大学データ資料集・Power BI）</x:v>
      </x:c>
      <x:c r="W350" s="27" t="str">
        <x:v>Power BI「大学院入学状況」年度=2025、部局=経済学研究科、課程=博士課程(前期)、入学時期=春</x:v>
      </x:c>
      <x:c r="X350" s="27" t="str">
        <x:v>https://www.kobe-u.ac.jp/ja/about/datashiryoushuu/5_2025/</x:v>
      </x:c>
      <x:c r="Y350" s="27" t="str">
        <x:v>研究科合計。Power BIの専攻ディメンションは当該集計値を専攻名ごとに反復表示するため、専攻値としては採用していない。</x:v>
      </x:c>
      <x:c r="Z350" s="47" t="str">
        <x:v>公式ダッシュボードで確認できるのは入学者数。志願者・受験者・合格者は未掲載。</x:v>
      </x:c>
    </x:row>
    <x:row r="351" ht="38" customHeight="1">
      <x:c r="A351" s="2" t="str">
        <x:v>神戸大学</x:v>
      </x:c>
      <x:c r="B351" s="2" t="str">
        <x:v>工学研究科</x:v>
      </x:c>
      <x:c r="C351" s="2" t="str">
        <x:v>（研究科合计）</x:v>
      </x:c>
      <x:c r="D351" s="44" t="n">
        <x:v>2022</x:v>
      </x:c>
      <x:c r="E351" s="27" t="str">
        <x:v>4月入学</x:v>
      </x:c>
      <x:c r="F351" s="27" t="str">
        <x:v>博士課程（前期）</x:v>
      </x:c>
      <x:c r="G351" s="27" t="str">
        <x:v>入学者数（選抜区分未分割）</x:v>
      </x:c>
      <x:c r="H351" s="27" t="str">
        <x:v>研究科合计</x:v>
      </x:c>
      <x:c r="I351" s="44"/>
      <x:c r="J351" s="44"/>
      <x:c r="K351" s="44"/>
      <x:c r="L351" s="44"/>
      <x:c r="M351" s="44" t="n">
        <x:v>327</x:v>
      </x:c>
      <x:c r="N351" s="45" t="str">
        <x:f>IF(AND(J351&lt;&gt;"",L351&lt;&gt;0),J351/L351,"")</x:f>
      </x:c>
      <x:c r="O351" s="45" t="str">
        <x:f>IF(AND(K351&lt;&gt;"",L351&lt;&gt;0),K351/L351,"")</x:f>
      </x:c>
      <x:c r="P351" s="46" t="str">
        <x:f>IF(AND(K351&lt;&gt;"",K351&lt;&gt;0,L351&lt;&gt;""),L351/K351,"")</x:f>
      </x:c>
      <x:c r="Q351" s="46" t="str">
        <x:f>IF(AND(L351&lt;&gt;"",L351&lt;&gt;0,M351&lt;&gt;""),M351/L351,"")</x:f>
      </x:c>
      <x:c r="R351" s="45" t="str">
        <x:f>IF(N351&lt;&gt;"",N351,IF(O351&lt;&gt;"",O351,""))</x:f>
      </x:c>
      <x:c r="S351" s="2" t="str">
        <x:f>IF(N351&lt;&gt;"","志愿/合格",IF(O351&lt;&gt;"","受验/合格",""))</x:f>
      </x:c>
      <x:c r="T351" s="2" t="str">
        <x:v>官方</x:v>
      </x:c>
      <x:c r="U351" s="2" t="str">
        <x:v>高</x:v>
      </x:c>
      <x:c r="V351" s="27" t="str">
        <x:v>5 大学院入学状況（神戸大学データ資料集・Power BI）</x:v>
      </x:c>
      <x:c r="W351" s="27" t="str">
        <x:v>Power BI「大学院入学状況」年度=2022、部局=工学研究科、課程=博士課程(前期)、入学時期=春</x:v>
      </x:c>
      <x:c r="X351" s="27" t="str">
        <x:v>https://www.kobe-u.ac.jp/ja/about/datashiryoushuu/5_2025/</x:v>
      </x:c>
      <x:c r="Y351" s="27" t="str">
        <x:v>研究科合計。Power BIの専攻ディメンションは当該集計値を専攻名ごとに反復表示するため、専攻値としては採用していない。</x:v>
      </x:c>
      <x:c r="Z351" s="47" t="str">
        <x:v>公式ダッシュボードで確認できるのは入学者数。志願者・受験者・合格者は未掲載。</x:v>
      </x:c>
    </x:row>
    <x:row r="352" ht="38" customHeight="1">
      <x:c r="A352" s="2" t="str">
        <x:v>神戸大学</x:v>
      </x:c>
      <x:c r="B352" s="2" t="str">
        <x:v>工学研究科</x:v>
      </x:c>
      <x:c r="C352" s="2" t="str">
        <x:v>（研究科合计）</x:v>
      </x:c>
      <x:c r="D352" s="44" t="n">
        <x:v>2023</x:v>
      </x:c>
      <x:c r="E352" s="27" t="str">
        <x:v>4月入学</x:v>
      </x:c>
      <x:c r="F352" s="27" t="str">
        <x:v>博士課程（前期）</x:v>
      </x:c>
      <x:c r="G352" s="27" t="str">
        <x:v>入学者数（選抜区分未分割）</x:v>
      </x:c>
      <x:c r="H352" s="27" t="str">
        <x:v>研究科合计</x:v>
      </x:c>
      <x:c r="I352" s="44"/>
      <x:c r="J352" s="44"/>
      <x:c r="K352" s="44"/>
      <x:c r="L352" s="44"/>
      <x:c r="M352" s="44" t="n">
        <x:v>310</x:v>
      </x:c>
      <x:c r="N352" s="45" t="str">
        <x:f>IF(AND(J352&lt;&gt;"",L352&lt;&gt;0),J352/L352,"")</x:f>
      </x:c>
      <x:c r="O352" s="45" t="str">
        <x:f>IF(AND(K352&lt;&gt;"",L352&lt;&gt;0),K352/L352,"")</x:f>
      </x:c>
      <x:c r="P352" s="46" t="str">
        <x:f>IF(AND(K352&lt;&gt;"",K352&lt;&gt;0,L352&lt;&gt;""),L352/K352,"")</x:f>
      </x:c>
      <x:c r="Q352" s="46" t="str">
        <x:f>IF(AND(L352&lt;&gt;"",L352&lt;&gt;0,M352&lt;&gt;""),M352/L352,"")</x:f>
      </x:c>
      <x:c r="R352" s="45" t="str">
        <x:f>IF(N352&lt;&gt;"",N352,IF(O352&lt;&gt;"",O352,""))</x:f>
      </x:c>
      <x:c r="S352" s="2" t="str">
        <x:f>IF(N352&lt;&gt;"","志愿/合格",IF(O352&lt;&gt;"","受验/合格",""))</x:f>
      </x:c>
      <x:c r="T352" s="2" t="str">
        <x:v>官方</x:v>
      </x:c>
      <x:c r="U352" s="2" t="str">
        <x:v>高</x:v>
      </x:c>
      <x:c r="V352" s="27" t="str">
        <x:v>5 大学院入学状況（神戸大学データ資料集・Power BI）</x:v>
      </x:c>
      <x:c r="W352" s="27" t="str">
        <x:v>Power BI「大学院入学状況」年度=2023、部局=工学研究科、課程=博士課程(前期)、入学時期=春</x:v>
      </x:c>
      <x:c r="X352" s="27" t="str">
        <x:v>https://www.kobe-u.ac.jp/ja/about/datashiryoushuu/5_2025/</x:v>
      </x:c>
      <x:c r="Y352" s="27" t="str">
        <x:v>研究科合計。Power BIの専攻ディメンションは当該集計値を専攻名ごとに反復表示するため、専攻値としては採用していない。</x:v>
      </x:c>
      <x:c r="Z352" s="47" t="str">
        <x:v>公式ダッシュボードで確認できるのは入学者数。志願者・受験者・合格者は未掲載。</x:v>
      </x:c>
    </x:row>
    <x:row r="353" ht="38" customHeight="1">
      <x:c r="A353" s="2" t="str">
        <x:v>神戸大学</x:v>
      </x:c>
      <x:c r="B353" s="2" t="str">
        <x:v>工学研究科</x:v>
      </x:c>
      <x:c r="C353" s="2" t="str">
        <x:v>（研究科合计）</x:v>
      </x:c>
      <x:c r="D353" s="44" t="n">
        <x:v>2024</x:v>
      </x:c>
      <x:c r="E353" s="27" t="str">
        <x:v>4月入学</x:v>
      </x:c>
      <x:c r="F353" s="27" t="str">
        <x:v>博士課程（前期）</x:v>
      </x:c>
      <x:c r="G353" s="27" t="str">
        <x:v>入学者数（選抜区分未分割）</x:v>
      </x:c>
      <x:c r="H353" s="27" t="str">
        <x:v>研究科合计</x:v>
      </x:c>
      <x:c r="I353" s="44"/>
      <x:c r="J353" s="44"/>
      <x:c r="K353" s="44"/>
      <x:c r="L353" s="44"/>
      <x:c r="M353" s="44" t="n">
        <x:v>325</x:v>
      </x:c>
      <x:c r="N353" s="45" t="str">
        <x:f>IF(AND(J353&lt;&gt;"",L353&lt;&gt;0),J353/L353,"")</x:f>
      </x:c>
      <x:c r="O353" s="45" t="str">
        <x:f>IF(AND(K353&lt;&gt;"",L353&lt;&gt;0),K353/L353,"")</x:f>
      </x:c>
      <x:c r="P353" s="46" t="str">
        <x:f>IF(AND(K353&lt;&gt;"",K353&lt;&gt;0,L353&lt;&gt;""),L353/K353,"")</x:f>
      </x:c>
      <x:c r="Q353" s="46" t="str">
        <x:f>IF(AND(L353&lt;&gt;"",L353&lt;&gt;0,M353&lt;&gt;""),M353/L353,"")</x:f>
      </x:c>
      <x:c r="R353" s="45" t="str">
        <x:f>IF(N353&lt;&gt;"",N353,IF(O353&lt;&gt;"",O353,""))</x:f>
      </x:c>
      <x:c r="S353" s="2" t="str">
        <x:f>IF(N353&lt;&gt;"","志愿/合格",IF(O353&lt;&gt;"","受验/合格",""))</x:f>
      </x:c>
      <x:c r="T353" s="2" t="str">
        <x:v>官方</x:v>
      </x:c>
      <x:c r="U353" s="2" t="str">
        <x:v>高</x:v>
      </x:c>
      <x:c r="V353" s="27" t="str">
        <x:v>5 大学院入学状況（神戸大学データ資料集・Power BI）</x:v>
      </x:c>
      <x:c r="W353" s="27" t="str">
        <x:v>Power BI「大学院入学状況」年度=2024、部局=工学研究科、課程=博士課程(前期)、入学時期=春</x:v>
      </x:c>
      <x:c r="X353" s="27" t="str">
        <x:v>https://www.kobe-u.ac.jp/ja/about/datashiryoushuu/5_2025/</x:v>
      </x:c>
      <x:c r="Y353" s="27" t="str">
        <x:v>研究科合計。Power BIの専攻ディメンションは当該集計値を専攻名ごとに反復表示するため、専攻値としては採用していない。</x:v>
      </x:c>
      <x:c r="Z353" s="47" t="str">
        <x:v>公式ダッシュボードで確認できるのは入学者数。志願者・受験者・合格者は未掲載。</x:v>
      </x:c>
    </x:row>
    <x:row r="354" ht="38" customHeight="1">
      <x:c r="A354" s="2" t="str">
        <x:v>神戸大学</x:v>
      </x:c>
      <x:c r="B354" s="2" t="str">
        <x:v>工学研究科</x:v>
      </x:c>
      <x:c r="C354" s="2" t="str">
        <x:v>（研究科合计）</x:v>
      </x:c>
      <x:c r="D354" s="44" t="n">
        <x:v>2025</x:v>
      </x:c>
      <x:c r="E354" s="27" t="str">
        <x:v>4月入学</x:v>
      </x:c>
      <x:c r="F354" s="27" t="str">
        <x:v>博士課程（前期）</x:v>
      </x:c>
      <x:c r="G354" s="27" t="str">
        <x:v>入学者数（選抜区分未分割）</x:v>
      </x:c>
      <x:c r="H354" s="27" t="str">
        <x:v>研究科合计</x:v>
      </x:c>
      <x:c r="I354" s="44"/>
      <x:c r="J354" s="44"/>
      <x:c r="K354" s="44"/>
      <x:c r="L354" s="44"/>
      <x:c r="M354" s="44" t="n">
        <x:v>332</x:v>
      </x:c>
      <x:c r="N354" s="45" t="str">
        <x:f>IF(AND(J354&lt;&gt;"",L354&lt;&gt;0),J354/L354,"")</x:f>
      </x:c>
      <x:c r="O354" s="45" t="str">
        <x:f>IF(AND(K354&lt;&gt;"",L354&lt;&gt;0),K354/L354,"")</x:f>
      </x:c>
      <x:c r="P354" s="46" t="str">
        <x:f>IF(AND(K354&lt;&gt;"",K354&lt;&gt;0,L354&lt;&gt;""),L354/K354,"")</x:f>
      </x:c>
      <x:c r="Q354" s="46" t="str">
        <x:f>IF(AND(L354&lt;&gt;"",L354&lt;&gt;0,M354&lt;&gt;""),M354/L354,"")</x:f>
      </x:c>
      <x:c r="R354" s="45" t="str">
        <x:f>IF(N354&lt;&gt;"",N354,IF(O354&lt;&gt;"",O354,""))</x:f>
      </x:c>
      <x:c r="S354" s="2" t="str">
        <x:f>IF(N354&lt;&gt;"","志愿/合格",IF(O354&lt;&gt;"","受验/合格",""))</x:f>
      </x:c>
      <x:c r="T354" s="2" t="str">
        <x:v>官方</x:v>
      </x:c>
      <x:c r="U354" s="2" t="str">
        <x:v>高</x:v>
      </x:c>
      <x:c r="V354" s="27" t="str">
        <x:v>5 大学院入学状況（神戸大学データ資料集・Power BI）</x:v>
      </x:c>
      <x:c r="W354" s="27" t="str">
        <x:v>Power BI「大学院入学状況」年度=2025、部局=工学研究科、課程=博士課程(前期)、入学時期=春</x:v>
      </x:c>
      <x:c r="X354" s="27" t="str">
        <x:v>https://www.kobe-u.ac.jp/ja/about/datashiryoushuu/5_2025/</x:v>
      </x:c>
      <x:c r="Y354" s="27" t="str">
        <x:v>研究科合計。Power BIの専攻ディメンションは当該集計値を専攻名ごとに反復表示するため、専攻値としては採用していない。</x:v>
      </x:c>
      <x:c r="Z354" s="47" t="str">
        <x:v>公式ダッシュボードで確認できるのは入学者数。志願者・受験者・合格者は未掲載。</x:v>
      </x:c>
    </x:row>
    <x:row r="355" ht="38" customHeight="1">
      <x:c r="A355" s="2" t="str">
        <x:v>神戸大学</x:v>
      </x:c>
      <x:c r="B355" s="2" t="str">
        <x:v>理学研究科</x:v>
      </x:c>
      <x:c r="C355" s="2" t="str">
        <x:v>（研究科合计）</x:v>
      </x:c>
      <x:c r="D355" s="44" t="n">
        <x:v>2022</x:v>
      </x:c>
      <x:c r="E355" s="27" t="str">
        <x:v>10月入学</x:v>
      </x:c>
      <x:c r="F355" s="27" t="str">
        <x:v>博士課程（前期）</x:v>
      </x:c>
      <x:c r="G355" s="27" t="str">
        <x:v>入学者数（選抜区分未分割）</x:v>
      </x:c>
      <x:c r="H355" s="27" t="str">
        <x:v>研究科合计</x:v>
      </x:c>
      <x:c r="I355" s="44"/>
      <x:c r="J355" s="44"/>
      <x:c r="K355" s="44"/>
      <x:c r="L355" s="44"/>
      <x:c r="M355" s="44" t="n">
        <x:v>7</x:v>
      </x:c>
      <x:c r="N355" s="45" t="str">
        <x:f>IF(AND(J355&lt;&gt;"",L355&lt;&gt;0),J355/L355,"")</x:f>
      </x:c>
      <x:c r="O355" s="45" t="str">
        <x:f>IF(AND(K355&lt;&gt;"",L355&lt;&gt;0),K355/L355,"")</x:f>
      </x:c>
      <x:c r="P355" s="46" t="str">
        <x:f>IF(AND(K355&lt;&gt;"",K355&lt;&gt;0,L355&lt;&gt;""),L355/K355,"")</x:f>
      </x:c>
      <x:c r="Q355" s="46" t="str">
        <x:f>IF(AND(L355&lt;&gt;"",L355&lt;&gt;0,M355&lt;&gt;""),M355/L355,"")</x:f>
      </x:c>
      <x:c r="R355" s="45" t="str">
        <x:f>IF(N355&lt;&gt;"",N355,IF(O355&lt;&gt;"",O355,""))</x:f>
      </x:c>
      <x:c r="S355" s="2" t="str">
        <x:f>IF(N355&lt;&gt;"","志愿/合格",IF(O355&lt;&gt;"","受验/合格",""))</x:f>
      </x:c>
      <x:c r="T355" s="2" t="str">
        <x:v>官方</x:v>
      </x:c>
      <x:c r="U355" s="2" t="str">
        <x:v>高</x:v>
      </x:c>
      <x:c r="V355" s="27" t="str">
        <x:v>5 大学院入学状況（神戸大学データ資料集・Power BI）</x:v>
      </x:c>
      <x:c r="W355" s="27" t="str">
        <x:v>Power BI「大学院入学状況」年度=2022、部局=理学研究科、課程=博士課程(前期)、入学時期=秋</x:v>
      </x:c>
      <x:c r="X355" s="27" t="str">
        <x:v>https://www.kobe-u.ac.jp/ja/about/datashiryoushuu/5_2025/</x:v>
      </x:c>
      <x:c r="Y355" s="27" t="str">
        <x:v>研究科合計。Power BIの専攻ディメンションは当該集計値を専攻名ごとに反復表示するため、専攻値としては採用していない。</x:v>
      </x:c>
      <x:c r="Z355" s="47" t="str">
        <x:v>公式ダッシュボードで確認できるのは入学者数。志願者・受験者・合格者は未掲載。</x:v>
      </x:c>
    </x:row>
    <x:row r="356" ht="38" customHeight="1">
      <x:c r="A356" s="2" t="str">
        <x:v>神戸大学</x:v>
      </x:c>
      <x:c r="B356" s="2" t="str">
        <x:v>理学研究科</x:v>
      </x:c>
      <x:c r="C356" s="2" t="str">
        <x:v>（研究科合计）</x:v>
      </x:c>
      <x:c r="D356" s="44" t="n">
        <x:v>2022</x:v>
      </x:c>
      <x:c r="E356" s="27" t="str">
        <x:v>4月入学</x:v>
      </x:c>
      <x:c r="F356" s="27" t="str">
        <x:v>博士課程（前期）</x:v>
      </x:c>
      <x:c r="G356" s="27" t="str">
        <x:v>入学者数（選抜区分未分割）</x:v>
      </x:c>
      <x:c r="H356" s="27" t="str">
        <x:v>研究科合计</x:v>
      </x:c>
      <x:c r="I356" s="44"/>
      <x:c r="J356" s="44"/>
      <x:c r="K356" s="44"/>
      <x:c r="L356" s="44"/>
      <x:c r="M356" s="44" t="n">
        <x:v>129</x:v>
      </x:c>
      <x:c r="N356" s="45" t="str">
        <x:f>IF(AND(J356&lt;&gt;"",L356&lt;&gt;0),J356/L356,"")</x:f>
      </x:c>
      <x:c r="O356" s="45" t="str">
        <x:f>IF(AND(K356&lt;&gt;"",L356&lt;&gt;0),K356/L356,"")</x:f>
      </x:c>
      <x:c r="P356" s="46" t="str">
        <x:f>IF(AND(K356&lt;&gt;"",K356&lt;&gt;0,L356&lt;&gt;""),L356/K356,"")</x:f>
      </x:c>
      <x:c r="Q356" s="46" t="str">
        <x:f>IF(AND(L356&lt;&gt;"",L356&lt;&gt;0,M356&lt;&gt;""),M356/L356,"")</x:f>
      </x:c>
      <x:c r="R356" s="45" t="str">
        <x:f>IF(N356&lt;&gt;"",N356,IF(O356&lt;&gt;"",O356,""))</x:f>
      </x:c>
      <x:c r="S356" s="2" t="str">
        <x:f>IF(N356&lt;&gt;"","志愿/合格",IF(O356&lt;&gt;"","受验/合格",""))</x:f>
      </x:c>
      <x:c r="T356" s="2" t="str">
        <x:v>官方</x:v>
      </x:c>
      <x:c r="U356" s="2" t="str">
        <x:v>高</x:v>
      </x:c>
      <x:c r="V356" s="27" t="str">
        <x:v>5 大学院入学状況（神戸大学データ資料集・Power BI）</x:v>
      </x:c>
      <x:c r="W356" s="27" t="str">
        <x:v>Power BI「大学院入学状況」年度=2022、部局=理学研究科、課程=博士課程(前期)、入学時期=春</x:v>
      </x:c>
      <x:c r="X356" s="27" t="str">
        <x:v>https://www.kobe-u.ac.jp/ja/about/datashiryoushuu/5_2025/</x:v>
      </x:c>
      <x:c r="Y356" s="27" t="str">
        <x:v>研究科合計。Power BIの専攻ディメンションは当該集計値を専攻名ごとに反復表示するため、専攻値としては採用していない。</x:v>
      </x:c>
      <x:c r="Z356" s="47" t="str">
        <x:v>公式ダッシュボードで確認できるのは入学者数。志願者・受験者・合格者は未掲載。</x:v>
      </x:c>
    </x:row>
    <x:row r="357" ht="38" customHeight="1">
      <x:c r="A357" s="2" t="str">
        <x:v>神戸大学</x:v>
      </x:c>
      <x:c r="B357" s="2" t="str">
        <x:v>理学研究科</x:v>
      </x:c>
      <x:c r="C357" s="2" t="str">
        <x:v>（研究科合计）</x:v>
      </x:c>
      <x:c r="D357" s="44" t="n">
        <x:v>2023</x:v>
      </x:c>
      <x:c r="E357" s="27" t="str">
        <x:v>10月入学</x:v>
      </x:c>
      <x:c r="F357" s="27" t="str">
        <x:v>博士課程（前期）</x:v>
      </x:c>
      <x:c r="G357" s="27" t="str">
        <x:v>入学者数（選抜区分未分割）</x:v>
      </x:c>
      <x:c r="H357" s="27" t="str">
        <x:v>研究科合计</x:v>
      </x:c>
      <x:c r="I357" s="44"/>
      <x:c r="J357" s="44"/>
      <x:c r="K357" s="44"/>
      <x:c r="L357" s="44"/>
      <x:c r="M357" s="44" t="n">
        <x:v>4</x:v>
      </x:c>
      <x:c r="N357" s="45" t="str">
        <x:f>IF(AND(J357&lt;&gt;"",L357&lt;&gt;0),J357/L357,"")</x:f>
      </x:c>
      <x:c r="O357" s="45" t="str">
        <x:f>IF(AND(K357&lt;&gt;"",L357&lt;&gt;0),K357/L357,"")</x:f>
      </x:c>
      <x:c r="P357" s="46" t="str">
        <x:f>IF(AND(K357&lt;&gt;"",K357&lt;&gt;0,L357&lt;&gt;""),L357/K357,"")</x:f>
      </x:c>
      <x:c r="Q357" s="46" t="str">
        <x:f>IF(AND(L357&lt;&gt;"",L357&lt;&gt;0,M357&lt;&gt;""),M357/L357,"")</x:f>
      </x:c>
      <x:c r="R357" s="45" t="str">
        <x:f>IF(N357&lt;&gt;"",N357,IF(O357&lt;&gt;"",O357,""))</x:f>
      </x:c>
      <x:c r="S357" s="2" t="str">
        <x:f>IF(N357&lt;&gt;"","志愿/合格",IF(O357&lt;&gt;"","受验/合格",""))</x:f>
      </x:c>
      <x:c r="T357" s="2" t="str">
        <x:v>官方</x:v>
      </x:c>
      <x:c r="U357" s="2" t="str">
        <x:v>高</x:v>
      </x:c>
      <x:c r="V357" s="27" t="str">
        <x:v>5 大学院入学状況（神戸大学データ資料集・Power BI）</x:v>
      </x:c>
      <x:c r="W357" s="27" t="str">
        <x:v>Power BI「大学院入学状況」年度=2023、部局=理学研究科、課程=博士課程(前期)、入学時期=秋</x:v>
      </x:c>
      <x:c r="X357" s="27" t="str">
        <x:v>https://www.kobe-u.ac.jp/ja/about/datashiryoushuu/5_2025/</x:v>
      </x:c>
      <x:c r="Y357" s="27" t="str">
        <x:v>研究科合計。Power BIの専攻ディメンションは当該集計値を専攻名ごとに反復表示するため、専攻値としては採用していない。</x:v>
      </x:c>
      <x:c r="Z357" s="47" t="str">
        <x:v>公式ダッシュボードで確認できるのは入学者数。志願者・受験者・合格者は未掲載。</x:v>
      </x:c>
    </x:row>
    <x:row r="358" ht="38" customHeight="1">
      <x:c r="A358" s="2" t="str">
        <x:v>神戸大学</x:v>
      </x:c>
      <x:c r="B358" s="2" t="str">
        <x:v>理学研究科</x:v>
      </x:c>
      <x:c r="C358" s="2" t="str">
        <x:v>（研究科合计）</x:v>
      </x:c>
      <x:c r="D358" s="44" t="n">
        <x:v>2023</x:v>
      </x:c>
      <x:c r="E358" s="27" t="str">
        <x:v>4月入学</x:v>
      </x:c>
      <x:c r="F358" s="27" t="str">
        <x:v>博士課程（前期）</x:v>
      </x:c>
      <x:c r="G358" s="27" t="str">
        <x:v>入学者数（選抜区分未分割）</x:v>
      </x:c>
      <x:c r="H358" s="27" t="str">
        <x:v>研究科合计</x:v>
      </x:c>
      <x:c r="I358" s="44"/>
      <x:c r="J358" s="44"/>
      <x:c r="K358" s="44"/>
      <x:c r="L358" s="44"/>
      <x:c r="M358" s="44" t="n">
        <x:v>119</x:v>
      </x:c>
      <x:c r="N358" s="45" t="str">
        <x:f>IF(AND(J358&lt;&gt;"",L358&lt;&gt;0),J358/L358,"")</x:f>
      </x:c>
      <x:c r="O358" s="45" t="str">
        <x:f>IF(AND(K358&lt;&gt;"",L358&lt;&gt;0),K358/L358,"")</x:f>
      </x:c>
      <x:c r="P358" s="46" t="str">
        <x:f>IF(AND(K358&lt;&gt;"",K358&lt;&gt;0,L358&lt;&gt;""),L358/K358,"")</x:f>
      </x:c>
      <x:c r="Q358" s="46" t="str">
        <x:f>IF(AND(L358&lt;&gt;"",L358&lt;&gt;0,M358&lt;&gt;""),M358/L358,"")</x:f>
      </x:c>
      <x:c r="R358" s="45" t="str">
        <x:f>IF(N358&lt;&gt;"",N358,IF(O358&lt;&gt;"",O358,""))</x:f>
      </x:c>
      <x:c r="S358" s="2" t="str">
        <x:f>IF(N358&lt;&gt;"","志愿/合格",IF(O358&lt;&gt;"","受验/合格",""))</x:f>
      </x:c>
      <x:c r="T358" s="2" t="str">
        <x:v>官方</x:v>
      </x:c>
      <x:c r="U358" s="2" t="str">
        <x:v>高</x:v>
      </x:c>
      <x:c r="V358" s="27" t="str">
        <x:v>5 大学院入学状況（神戸大学データ資料集・Power BI）</x:v>
      </x:c>
      <x:c r="W358" s="27" t="str">
        <x:v>Power BI「大学院入学状況」年度=2023、部局=理学研究科、課程=博士課程(前期)、入学時期=春</x:v>
      </x:c>
      <x:c r="X358" s="27" t="str">
        <x:v>https://www.kobe-u.ac.jp/ja/about/datashiryoushuu/5_2025/</x:v>
      </x:c>
      <x:c r="Y358" s="27" t="str">
        <x:v>研究科合計。Power BIの専攻ディメンションは当該集計値を専攻名ごとに反復表示するため、専攻値としては採用していない。</x:v>
      </x:c>
      <x:c r="Z358" s="47" t="str">
        <x:v>公式ダッシュボードで確認できるのは入学者数。志願者・受験者・合格者は未掲載。</x:v>
      </x:c>
    </x:row>
    <x:row r="359" ht="38" customHeight="1">
      <x:c r="A359" s="2" t="str">
        <x:v>神戸大学</x:v>
      </x:c>
      <x:c r="B359" s="2" t="str">
        <x:v>理学研究科</x:v>
      </x:c>
      <x:c r="C359" s="2" t="str">
        <x:v>（研究科合计）</x:v>
      </x:c>
      <x:c r="D359" s="44" t="n">
        <x:v>2024</x:v>
      </x:c>
      <x:c r="E359" s="27" t="str">
        <x:v>10月入学</x:v>
      </x:c>
      <x:c r="F359" s="27" t="str">
        <x:v>博士課程（前期）</x:v>
      </x:c>
      <x:c r="G359" s="27" t="str">
        <x:v>入学者数（選抜区分未分割）</x:v>
      </x:c>
      <x:c r="H359" s="27" t="str">
        <x:v>研究科合计</x:v>
      </x:c>
      <x:c r="I359" s="44"/>
      <x:c r="J359" s="44"/>
      <x:c r="K359" s="44"/>
      <x:c r="L359" s="44"/>
      <x:c r="M359" s="44" t="n">
        <x:v>2</x:v>
      </x:c>
      <x:c r="N359" s="45" t="str">
        <x:f>IF(AND(J359&lt;&gt;"",L359&lt;&gt;0),J359/L359,"")</x:f>
      </x:c>
      <x:c r="O359" s="45" t="str">
        <x:f>IF(AND(K359&lt;&gt;"",L359&lt;&gt;0),K359/L359,"")</x:f>
      </x:c>
      <x:c r="P359" s="46" t="str">
        <x:f>IF(AND(K359&lt;&gt;"",K359&lt;&gt;0,L359&lt;&gt;""),L359/K359,"")</x:f>
      </x:c>
      <x:c r="Q359" s="46" t="str">
        <x:f>IF(AND(L359&lt;&gt;"",L359&lt;&gt;0,M359&lt;&gt;""),M359/L359,"")</x:f>
      </x:c>
      <x:c r="R359" s="45" t="str">
        <x:f>IF(N359&lt;&gt;"",N359,IF(O359&lt;&gt;"",O359,""))</x:f>
      </x:c>
      <x:c r="S359" s="2" t="str">
        <x:f>IF(N359&lt;&gt;"","志愿/合格",IF(O359&lt;&gt;"","受验/合格",""))</x:f>
      </x:c>
      <x:c r="T359" s="2" t="str">
        <x:v>官方</x:v>
      </x:c>
      <x:c r="U359" s="2" t="str">
        <x:v>高</x:v>
      </x:c>
      <x:c r="V359" s="27" t="str">
        <x:v>5 大学院入学状況（神戸大学データ資料集・Power BI）</x:v>
      </x:c>
      <x:c r="W359" s="27" t="str">
        <x:v>Power BI「大学院入学状況」年度=2024、部局=理学研究科、課程=博士課程(前期)、入学時期=秋</x:v>
      </x:c>
      <x:c r="X359" s="27" t="str">
        <x:v>https://www.kobe-u.ac.jp/ja/about/datashiryoushuu/5_2025/</x:v>
      </x:c>
      <x:c r="Y359" s="27" t="str">
        <x:v>研究科合計。Power BIの専攻ディメンションは当該集計値を専攻名ごとに反復表示するため、専攻値としては採用していない。</x:v>
      </x:c>
      <x:c r="Z359" s="47" t="str">
        <x:v>公式ダッシュボードで確認できるのは入学者数。志願者・受験者・合格者は未掲載。</x:v>
      </x:c>
    </x:row>
    <x:row r="360" ht="38" customHeight="1">
      <x:c r="A360" s="2" t="str">
        <x:v>神戸大学</x:v>
      </x:c>
      <x:c r="B360" s="2" t="str">
        <x:v>理学研究科</x:v>
      </x:c>
      <x:c r="C360" s="2" t="str">
        <x:v>（研究科合计）</x:v>
      </x:c>
      <x:c r="D360" s="44" t="n">
        <x:v>2024</x:v>
      </x:c>
      <x:c r="E360" s="27" t="str">
        <x:v>4月入学</x:v>
      </x:c>
      <x:c r="F360" s="27" t="str">
        <x:v>博士課程（前期）</x:v>
      </x:c>
      <x:c r="G360" s="27" t="str">
        <x:v>入学者数（選抜区分未分割）</x:v>
      </x:c>
      <x:c r="H360" s="27" t="str">
        <x:v>研究科合计</x:v>
      </x:c>
      <x:c r="I360" s="44"/>
      <x:c r="J360" s="44"/>
      <x:c r="K360" s="44"/>
      <x:c r="L360" s="44"/>
      <x:c r="M360" s="44" t="n">
        <x:v>122</x:v>
      </x:c>
      <x:c r="N360" s="45" t="str">
        <x:f>IF(AND(J360&lt;&gt;"",L360&lt;&gt;0),J360/L360,"")</x:f>
      </x:c>
      <x:c r="O360" s="45" t="str">
        <x:f>IF(AND(K360&lt;&gt;"",L360&lt;&gt;0),K360/L360,"")</x:f>
      </x:c>
      <x:c r="P360" s="46" t="str">
        <x:f>IF(AND(K360&lt;&gt;"",K360&lt;&gt;0,L360&lt;&gt;""),L360/K360,"")</x:f>
      </x:c>
      <x:c r="Q360" s="46" t="str">
        <x:f>IF(AND(L360&lt;&gt;"",L360&lt;&gt;0,M360&lt;&gt;""),M360/L360,"")</x:f>
      </x:c>
      <x:c r="R360" s="45" t="str">
        <x:f>IF(N360&lt;&gt;"",N360,IF(O360&lt;&gt;"",O360,""))</x:f>
      </x:c>
      <x:c r="S360" s="2" t="str">
        <x:f>IF(N360&lt;&gt;"","志愿/合格",IF(O360&lt;&gt;"","受验/合格",""))</x:f>
      </x:c>
      <x:c r="T360" s="2" t="str">
        <x:v>官方</x:v>
      </x:c>
      <x:c r="U360" s="2" t="str">
        <x:v>高</x:v>
      </x:c>
      <x:c r="V360" s="27" t="str">
        <x:v>5 大学院入学状況（神戸大学データ資料集・Power BI）</x:v>
      </x:c>
      <x:c r="W360" s="27" t="str">
        <x:v>Power BI「大学院入学状況」年度=2024、部局=理学研究科、課程=博士課程(前期)、入学時期=春</x:v>
      </x:c>
      <x:c r="X360" s="27" t="str">
        <x:v>https://www.kobe-u.ac.jp/ja/about/datashiryoushuu/5_2025/</x:v>
      </x:c>
      <x:c r="Y360" s="27" t="str">
        <x:v>研究科合計。Power BIの専攻ディメンションは当該集計値を専攻名ごとに反復表示するため、専攻値としては採用していない。</x:v>
      </x:c>
      <x:c r="Z360" s="47" t="str">
        <x:v>公式ダッシュボードで確認できるのは入学者数。志願者・受験者・合格者は未掲載。</x:v>
      </x:c>
    </x:row>
    <x:row r="361" ht="38" customHeight="1">
      <x:c r="A361" s="2" t="str">
        <x:v>神戸大学</x:v>
      </x:c>
      <x:c r="B361" s="2" t="str">
        <x:v>理学研究科</x:v>
      </x:c>
      <x:c r="C361" s="2" t="str">
        <x:v>（研究科合计）</x:v>
      </x:c>
      <x:c r="D361" s="44" t="n">
        <x:v>2025</x:v>
      </x:c>
      <x:c r="E361" s="27" t="str">
        <x:v>10月入学</x:v>
      </x:c>
      <x:c r="F361" s="27" t="str">
        <x:v>博士課程（前期）</x:v>
      </x:c>
      <x:c r="G361" s="27" t="str">
        <x:v>入学者数（選抜区分未分割）</x:v>
      </x:c>
      <x:c r="H361" s="27" t="str">
        <x:v>研究科合计</x:v>
      </x:c>
      <x:c r="I361" s="44"/>
      <x:c r="J361" s="44"/>
      <x:c r="K361" s="44"/>
      <x:c r="L361" s="44"/>
      <x:c r="M361" s="44" t="n">
        <x:v>1</x:v>
      </x:c>
      <x:c r="N361" s="45" t="str">
        <x:f>IF(AND(J361&lt;&gt;"",L361&lt;&gt;0),J361/L361,"")</x:f>
      </x:c>
      <x:c r="O361" s="45" t="str">
        <x:f>IF(AND(K361&lt;&gt;"",L361&lt;&gt;0),K361/L361,"")</x:f>
      </x:c>
      <x:c r="P361" s="46" t="str">
        <x:f>IF(AND(K361&lt;&gt;"",K361&lt;&gt;0,L361&lt;&gt;""),L361/K361,"")</x:f>
      </x:c>
      <x:c r="Q361" s="46" t="str">
        <x:f>IF(AND(L361&lt;&gt;"",L361&lt;&gt;0,M361&lt;&gt;""),M361/L361,"")</x:f>
      </x:c>
      <x:c r="R361" s="45" t="str">
        <x:f>IF(N361&lt;&gt;"",N361,IF(O361&lt;&gt;"",O361,""))</x:f>
      </x:c>
      <x:c r="S361" s="2" t="str">
        <x:f>IF(N361&lt;&gt;"","志愿/合格",IF(O361&lt;&gt;"","受验/合格",""))</x:f>
      </x:c>
      <x:c r="T361" s="2" t="str">
        <x:v>官方</x:v>
      </x:c>
      <x:c r="U361" s="2" t="str">
        <x:v>高</x:v>
      </x:c>
      <x:c r="V361" s="27" t="str">
        <x:v>5 大学院入学状況（神戸大学データ資料集・Power BI）</x:v>
      </x:c>
      <x:c r="W361" s="27" t="str">
        <x:v>Power BI「大学院入学状況」年度=2025、部局=理学研究科、課程=博士課程(前期)、入学時期=秋</x:v>
      </x:c>
      <x:c r="X361" s="27" t="str">
        <x:v>https://www.kobe-u.ac.jp/ja/about/datashiryoushuu/5_2025/</x:v>
      </x:c>
      <x:c r="Y361" s="27" t="str">
        <x:v>研究科合計。Power BIの専攻ディメンションは当該集計値を専攻名ごとに反復表示するため、専攻値としては採用していない。</x:v>
      </x:c>
      <x:c r="Z361" s="47" t="str">
        <x:v>公式ダッシュボードで確認できるのは入学者数。志願者・受験者・合格者は未掲載。</x:v>
      </x:c>
    </x:row>
    <x:row r="362" ht="38" customHeight="1">
      <x:c r="A362" s="2" t="str">
        <x:v>神戸大学</x:v>
      </x:c>
      <x:c r="B362" s="2" t="str">
        <x:v>理学研究科</x:v>
      </x:c>
      <x:c r="C362" s="2" t="str">
        <x:v>（研究科合计）</x:v>
      </x:c>
      <x:c r="D362" s="44" t="n">
        <x:v>2025</x:v>
      </x:c>
      <x:c r="E362" s="27" t="str">
        <x:v>4月入学</x:v>
      </x:c>
      <x:c r="F362" s="27" t="str">
        <x:v>博士課程（前期）</x:v>
      </x:c>
      <x:c r="G362" s="27" t="str">
        <x:v>入学者数（選抜区分未分割）</x:v>
      </x:c>
      <x:c r="H362" s="27" t="str">
        <x:v>研究科合计</x:v>
      </x:c>
      <x:c r="I362" s="44"/>
      <x:c r="J362" s="44"/>
      <x:c r="K362" s="44"/>
      <x:c r="L362" s="44"/>
      <x:c r="M362" s="44" t="n">
        <x:v>130</x:v>
      </x:c>
      <x:c r="N362" s="45" t="str">
        <x:f>IF(AND(J362&lt;&gt;"",L362&lt;&gt;0),J362/L362,"")</x:f>
      </x:c>
      <x:c r="O362" s="45" t="str">
        <x:f>IF(AND(K362&lt;&gt;"",L362&lt;&gt;0),K362/L362,"")</x:f>
      </x:c>
      <x:c r="P362" s="46" t="str">
        <x:f>IF(AND(K362&lt;&gt;"",K362&lt;&gt;0,L362&lt;&gt;""),L362/K362,"")</x:f>
      </x:c>
      <x:c r="Q362" s="46" t="str">
        <x:f>IF(AND(L362&lt;&gt;"",L362&lt;&gt;0,M362&lt;&gt;""),M362/L362,"")</x:f>
      </x:c>
      <x:c r="R362" s="45" t="str">
        <x:f>IF(N362&lt;&gt;"",N362,IF(O362&lt;&gt;"",O362,""))</x:f>
      </x:c>
      <x:c r="S362" s="2" t="str">
        <x:f>IF(N362&lt;&gt;"","志愿/合格",IF(O362&lt;&gt;"","受验/合格",""))</x:f>
      </x:c>
      <x:c r="T362" s="2" t="str">
        <x:v>官方</x:v>
      </x:c>
      <x:c r="U362" s="2" t="str">
        <x:v>高</x:v>
      </x:c>
      <x:c r="V362" s="27" t="str">
        <x:v>5 大学院入学状況（神戸大学データ資料集・Power BI）</x:v>
      </x:c>
      <x:c r="W362" s="27" t="str">
        <x:v>Power BI「大学院入学状況」年度=2025、部局=理学研究科、課程=博士課程(前期)、入学時期=春</x:v>
      </x:c>
      <x:c r="X362" s="27" t="str">
        <x:v>https://www.kobe-u.ac.jp/ja/about/datashiryoushuu/5_2025/</x:v>
      </x:c>
      <x:c r="Y362" s="27" t="str">
        <x:v>研究科合計。Power BIの専攻ディメンションは当該集計値を専攻名ごとに反復表示するため、専攻値としては採用していない。</x:v>
      </x:c>
      <x:c r="Z362" s="47" t="str">
        <x:v>公式ダッシュボードで確認できるのは入学者数。志願者・受験者・合格者は未掲載。</x:v>
      </x:c>
    </x:row>
    <x:row r="363" ht="38" customHeight="1">
      <x:c r="A363" s="2" t="str">
        <x:v>筑波大学</x:v>
      </x:c>
      <x:c r="B363" s="2" t="str">
        <x:v>理工情報生命学術院</x:v>
      </x:c>
      <x:c r="C363" s="2" t="str">
        <x:v>システム情報工学研究群</x:v>
      </x:c>
      <x:c r="D363" s="44" t="n">
        <x:v>2022</x:v>
      </x:c>
      <x:c r="E363" s="27" t="str">
        <x:v>全年合計（10月1日現在）</x:v>
      </x:c>
      <x:c r="F363" s="27" t="str">
        <x:v>博士前期課程</x:v>
      </x:c>
      <x:c r="G363" s="27" t="str">
        <x:v>一般・推薦・社会人等の研究群小計</x:v>
      </x:c>
      <x:c r="H363" s="27" t="str">
        <x:v>专攻/系</x:v>
      </x:c>
      <x:c r="I363" s="44" t="n">
        <x:v>431</x:v>
      </x:c>
      <x:c r="J363" s="44" t="n">
        <x:v>803</x:v>
      </x:c>
      <x:c r="K363" s="44" t="n">
        <x:v>761</x:v>
      </x:c>
      <x:c r="L363" s="44" t="n">
        <x:v>569</x:v>
      </x:c>
      <x:c r="M363" s="44" t="n">
        <x:v>514</x:v>
      </x:c>
      <x:c r="N363" s="45" t="n">
        <x:f>IF(AND(J363&lt;&gt;"",L363&lt;&gt;0),J363/L363,"")</x:f>
        <x:v>1.4112478031634446</x:v>
      </x:c>
      <x:c r="O363" s="45" t="n">
        <x:f>IF(AND(K363&lt;&gt;"",L363&lt;&gt;0),K363/L363,"")</x:f>
        <x:v>1.3374340949033392</x:v>
      </x:c>
      <x:c r="P363" s="46" t="n">
        <x:f>IF(AND(K363&lt;&gt;"",K363&lt;&gt;0,L363&lt;&gt;""),L363/K363,"")</x:f>
        <x:v>0.7477003942181341</x:v>
      </x:c>
      <x:c r="Q363" s="46" t="n">
        <x:f>IF(AND(L363&lt;&gt;"",L363&lt;&gt;0,M363&lt;&gt;""),M363/L363,"")</x:f>
        <x:v>0.9033391915641477</x:v>
      </x:c>
      <x:c r="R363" s="45" t="n">
        <x:f>IF(N363&lt;&gt;"",N363,IF(O363&lt;&gt;"",O363,""))</x:f>
        <x:v>1.4112478031634446</x:v>
      </x:c>
      <x:c r="S363" s="2" t="str">
        <x:f>IF(N363&lt;&gt;"","志愿/合格",IF(O363&lt;&gt;"","受验/合格",""))</x:f>
        <x:v>志愿/合格</x:v>
      </x:c>
      <x:c r="T363" s="2" t="str">
        <x:v>官方</x:v>
      </x:c>
      <x:c r="U363" s="2" t="str">
        <x:v>高</x:v>
      </x:c>
      <x:c r="V363" s="27" t="str">
        <x:v>令和4年度大学院入学試験結果（システム情報工学研究群）</x:v>
      </x:c>
      <x:c r="W363" s="27" t="str">
        <x:v>p.1 博士前期「小計」行</x:v>
      </x:c>
      <x:c r="X363" s="27" t="str">
        <x:v>https://www.tsukuba.ac.jp/admission/graduate-result/pdf/r4-4.pdf</x:v>
      </x:c>
      <x:c r="Y363" s="27" t="str">
        <x:v>研究群の博士前期課程小計。学位プログラム別ではなく、研究群全体の公式値。</x:v>
      </x:c>
      <x:c r="Z363" s="47" t="str">
        <x:v>注記により一部の特別プログラム値を除く場合がある。一貫制博士課程は含めない。</x:v>
      </x:c>
    </x:row>
    <x:row r="364" ht="38" customHeight="1">
      <x:c r="A364" s="2" t="str">
        <x:v>筑波大学</x:v>
      </x:c>
      <x:c r="B364" s="2" t="str">
        <x:v>理工情報生命学術院</x:v>
      </x:c>
      <x:c r="C364" s="2" t="str">
        <x:v>システム情報工学研究群</x:v>
      </x:c>
      <x:c r="D364" s="44" t="n">
        <x:v>2023</x:v>
      </x:c>
      <x:c r="E364" s="27" t="str">
        <x:v>全年合計（10月1日現在）</x:v>
      </x:c>
      <x:c r="F364" s="27" t="str">
        <x:v>博士前期課程</x:v>
      </x:c>
      <x:c r="G364" s="27" t="str">
        <x:v>一般・推薦・社会人等の研究群小計</x:v>
      </x:c>
      <x:c r="H364" s="27" t="str">
        <x:v>专攻/系</x:v>
      </x:c>
      <x:c r="I364" s="44" t="n">
        <x:v>431</x:v>
      </x:c>
      <x:c r="J364" s="44" t="n">
        <x:v>751</x:v>
      </x:c>
      <x:c r="K364" s="44" t="n">
        <x:v>718</x:v>
      </x:c>
      <x:c r="L364" s="44" t="n">
        <x:v>549</x:v>
      </x:c>
      <x:c r="M364" s="44" t="n">
        <x:v>503</x:v>
      </x:c>
      <x:c r="N364" s="45" t="n">
        <x:f>IF(AND(J364&lt;&gt;"",L364&lt;&gt;0),J364/L364,"")</x:f>
        <x:v>1.3679417122040072</x:v>
      </x:c>
      <x:c r="O364" s="45" t="n">
        <x:f>IF(AND(K364&lt;&gt;"",L364&lt;&gt;0),K364/L364,"")</x:f>
        <x:v>1.307832422586521</x:v>
      </x:c>
      <x:c r="P364" s="46" t="n">
        <x:f>IF(AND(K364&lt;&gt;"",K364&lt;&gt;0,L364&lt;&gt;""),L364/K364,"")</x:f>
        <x:v>0.7646239554317549</x:v>
      </x:c>
      <x:c r="Q364" s="46" t="n">
        <x:f>IF(AND(L364&lt;&gt;"",L364&lt;&gt;0,M364&lt;&gt;""),M364/L364,"")</x:f>
        <x:v>0.9162112932604736</x:v>
      </x:c>
      <x:c r="R364" s="45" t="n">
        <x:f>IF(N364&lt;&gt;"",N364,IF(O364&lt;&gt;"",O364,""))</x:f>
        <x:v>1.3679417122040072</x:v>
      </x:c>
      <x:c r="S364" s="2" t="str">
        <x:f>IF(N364&lt;&gt;"","志愿/合格",IF(O364&lt;&gt;"","受验/合格",""))</x:f>
        <x:v>志愿/合格</x:v>
      </x:c>
      <x:c r="T364" s="2" t="str">
        <x:v>官方</x:v>
      </x:c>
      <x:c r="U364" s="2" t="str">
        <x:v>高</x:v>
      </x:c>
      <x:c r="V364" s="27" t="str">
        <x:v>令和5年度大学院入学試験結果（システム情報工学研究群）</x:v>
      </x:c>
      <x:c r="W364" s="27" t="str">
        <x:v>p.1 博士前期「小計」行</x:v>
      </x:c>
      <x:c r="X364" s="27" t="str">
        <x:v>https://www.tsukuba.ac.jp/admission/graduate-result/pdf/r5-systems-info-engineering.pdf</x:v>
      </x:c>
      <x:c r="Y364" s="27" t="str">
        <x:v>研究群の博士前期課程小計。学位プログラム別ではなく、研究群全体の公式値。</x:v>
      </x:c>
      <x:c r="Z364" s="47" t="str">
        <x:v>注記により一部の特別プログラム値を除く場合がある。一貫制博士課程は含めない。</x:v>
      </x:c>
    </x:row>
    <x:row r="365" ht="38" customHeight="1">
      <x:c r="A365" s="2" t="str">
        <x:v>筑波大学</x:v>
      </x:c>
      <x:c r="B365" s="2" t="str">
        <x:v>理工情報生命学術院</x:v>
      </x:c>
      <x:c r="C365" s="2" t="str">
        <x:v>システム情報工学研究群</x:v>
      </x:c>
      <x:c r="D365" s="44" t="n">
        <x:v>2024</x:v>
      </x:c>
      <x:c r="E365" s="27" t="str">
        <x:v>全年合計（10月1日現在）</x:v>
      </x:c>
      <x:c r="F365" s="27" t="str">
        <x:v>博士前期課程</x:v>
      </x:c>
      <x:c r="G365" s="27" t="str">
        <x:v>一般・推薦・社会人等の研究群小計</x:v>
      </x:c>
      <x:c r="H365" s="27" t="str">
        <x:v>专攻/系</x:v>
      </x:c>
      <x:c r="I365" s="44" t="n">
        <x:v>500</x:v>
      </x:c>
      <x:c r="J365" s="44" t="n">
        <x:v>687</x:v>
      </x:c>
      <x:c r="K365" s="44" t="n">
        <x:v>650</x:v>
      </x:c>
      <x:c r="L365" s="44" t="n">
        <x:v>543</x:v>
      </x:c>
      <x:c r="M365" s="44" t="n">
        <x:v>503</x:v>
      </x:c>
      <x:c r="N365" s="45" t="n">
        <x:f>IF(AND(J365&lt;&gt;"",L365&lt;&gt;0),J365/L365,"")</x:f>
        <x:v>1.2651933701657458</x:v>
      </x:c>
      <x:c r="O365" s="45" t="n">
        <x:f>IF(AND(K365&lt;&gt;"",L365&lt;&gt;0),K365/L365,"")</x:f>
        <x:v>1.1970534069981584</x:v>
      </x:c>
      <x:c r="P365" s="46" t="n">
        <x:f>IF(AND(K365&lt;&gt;"",K365&lt;&gt;0,L365&lt;&gt;""),L365/K365,"")</x:f>
        <x:v>0.8353846153846154</x:v>
      </x:c>
      <x:c r="Q365" s="46" t="n">
        <x:f>IF(AND(L365&lt;&gt;"",L365&lt;&gt;0,M365&lt;&gt;""),M365/L365,"")</x:f>
        <x:v>0.9263351749539595</x:v>
      </x:c>
      <x:c r="R365" s="45" t="n">
        <x:f>IF(N365&lt;&gt;"",N365,IF(O365&lt;&gt;"",O365,""))</x:f>
        <x:v>1.2651933701657458</x:v>
      </x:c>
      <x:c r="S365" s="2" t="str">
        <x:f>IF(N365&lt;&gt;"","志愿/合格",IF(O365&lt;&gt;"","受验/合格",""))</x:f>
        <x:v>志愿/合格</x:v>
      </x:c>
      <x:c r="T365" s="2" t="str">
        <x:v>官方</x:v>
      </x:c>
      <x:c r="U365" s="2" t="str">
        <x:v>高</x:v>
      </x:c>
      <x:c r="V365" s="27" t="str">
        <x:v>令和6年度大学院入学試験結果（システム情報工学研究群）</x:v>
      </x:c>
      <x:c r="W365" s="27" t="str">
        <x:v>p.1 博士前期「小計」行</x:v>
      </x:c>
      <x:c r="X365" s="27" t="str">
        <x:v>https://www.tsukuba.ac.jp/admission/graduate-result/pdf/r6-systems-info-engineering.pdf</x:v>
      </x:c>
      <x:c r="Y365" s="27" t="str">
        <x:v>研究群の博士前期課程小計。学位プログラム別ではなく、研究群全体の公式値。</x:v>
      </x:c>
      <x:c r="Z365" s="47" t="str">
        <x:v>注記により一部の特別プログラム値を除く場合がある。一貫制博士課程は含めない。</x:v>
      </x:c>
    </x:row>
    <x:row r="366" ht="38" customHeight="1">
      <x:c r="A366" s="2" t="str">
        <x:v>筑波大学</x:v>
      </x:c>
      <x:c r="B366" s="2" t="str">
        <x:v>理工情報生命学術院</x:v>
      </x:c>
      <x:c r="C366" s="2" t="str">
        <x:v>システム情報工学研究群</x:v>
      </x:c>
      <x:c r="D366" s="44" t="n">
        <x:v>2025</x:v>
      </x:c>
      <x:c r="E366" s="27" t="str">
        <x:v>全年合計（10月1日現在）</x:v>
      </x:c>
      <x:c r="F366" s="27" t="str">
        <x:v>博士前期課程</x:v>
      </x:c>
      <x:c r="G366" s="27" t="str">
        <x:v>一般・推薦・社会人等の研究群小計</x:v>
      </x:c>
      <x:c r="H366" s="27" t="str">
        <x:v>专攻/系</x:v>
      </x:c>
      <x:c r="I366" s="44" t="n">
        <x:v>500</x:v>
      </x:c>
      <x:c r="J366" s="44" t="n">
        <x:v>640</x:v>
      </x:c>
      <x:c r="K366" s="44" t="n">
        <x:v>616</x:v>
      </x:c>
      <x:c r="L366" s="44" t="n">
        <x:v>543</x:v>
      </x:c>
      <x:c r="M366" s="44" t="n">
        <x:v>497</x:v>
      </x:c>
      <x:c r="N366" s="45" t="n">
        <x:f>IF(AND(J366&lt;&gt;"",L366&lt;&gt;0),J366/L366,"")</x:f>
        <x:v>1.1786372007366483</x:v>
      </x:c>
      <x:c r="O366" s="45" t="n">
        <x:f>IF(AND(K366&lt;&gt;"",L366&lt;&gt;0),K366/L366,"")</x:f>
        <x:v>1.134438305709024</x:v>
      </x:c>
      <x:c r="P366" s="46" t="n">
        <x:f>IF(AND(K366&lt;&gt;"",K366&lt;&gt;0,L366&lt;&gt;""),L366/K366,"")</x:f>
        <x:v>0.8814935064935064</x:v>
      </x:c>
      <x:c r="Q366" s="46" t="n">
        <x:f>IF(AND(L366&lt;&gt;"",L366&lt;&gt;0,M366&lt;&gt;""),M366/L366,"")</x:f>
        <x:v>0.9152854511970534</x:v>
      </x:c>
      <x:c r="R366" s="45" t="n">
        <x:f>IF(N366&lt;&gt;"",N366,IF(O366&lt;&gt;"",O366,""))</x:f>
        <x:v>1.1786372007366483</x:v>
      </x:c>
      <x:c r="S366" s="2" t="str">
        <x:f>IF(N366&lt;&gt;"","志愿/合格",IF(O366&lt;&gt;"","受验/合格",""))</x:f>
        <x:v>志愿/合格</x:v>
      </x:c>
      <x:c r="T366" s="2" t="str">
        <x:v>官方</x:v>
      </x:c>
      <x:c r="U366" s="2" t="str">
        <x:v>高</x:v>
      </x:c>
      <x:c r="V366" s="27" t="str">
        <x:v>令和7年度大学院入学試験結果（システム情報工学研究群）</x:v>
      </x:c>
      <x:c r="W366" s="27" t="str">
        <x:v>p.1 博士前期「小計」行</x:v>
      </x:c>
      <x:c r="X366" s="27" t="str">
        <x:v>https://www.tsukuba.ac.jp/admission/graduate-result/pdf/r7-systems-info-engineering.pdf</x:v>
      </x:c>
      <x:c r="Y366" s="27" t="str">
        <x:v>研究群の博士前期課程小計。学位プログラム別ではなく、研究群全体の公式値。</x:v>
      </x:c>
      <x:c r="Z366" s="47" t="str">
        <x:v>注記により一部の特別プログラム値を除く場合がある。一貫制博士課程は含めない。</x:v>
      </x:c>
    </x:row>
    <x:row r="367" ht="38" customHeight="1">
      <x:c r="A367" s="2" t="str">
        <x:v>筑波大学</x:v>
      </x:c>
      <x:c r="B367" s="2" t="str">
        <x:v>理工情報生命学術院</x:v>
      </x:c>
      <x:c r="C367" s="2" t="str">
        <x:v>システム情報工学研究群</x:v>
      </x:c>
      <x:c r="D367" s="44" t="n">
        <x:v>2026</x:v>
      </x:c>
      <x:c r="E367" s="27" t="str">
        <x:v>全年合計（4月1日現在）</x:v>
      </x:c>
      <x:c r="F367" s="27" t="str">
        <x:v>博士前期課程</x:v>
      </x:c>
      <x:c r="G367" s="27" t="str">
        <x:v>一般・推薦・社会人等の研究群小計</x:v>
      </x:c>
      <x:c r="H367" s="27" t="str">
        <x:v>专攻/系</x:v>
      </x:c>
      <x:c r="I367" s="44" t="n">
        <x:v>500</x:v>
      </x:c>
      <x:c r="J367" s="44" t="n">
        <x:v>692</x:v>
      </x:c>
      <x:c r="K367" s="44" t="n">
        <x:v>659</x:v>
      </x:c>
      <x:c r="L367" s="44" t="n">
        <x:v>575</x:v>
      </x:c>
      <x:c r="M367" s="44" t="n">
        <x:v>529</x:v>
      </x:c>
      <x:c r="N367" s="45" t="n">
        <x:f>IF(AND(J367&lt;&gt;"",L367&lt;&gt;0),J367/L367,"")</x:f>
        <x:v>1.203478260869565</x:v>
      </x:c>
      <x:c r="O367" s="45" t="n">
        <x:f>IF(AND(K367&lt;&gt;"",L367&lt;&gt;0),K367/L367,"")</x:f>
        <x:v>1.146086956521739</x:v>
      </x:c>
      <x:c r="P367" s="46" t="n">
        <x:f>IF(AND(K367&lt;&gt;"",K367&lt;&gt;0,L367&lt;&gt;""),L367/K367,"")</x:f>
        <x:v>0.8725341426403642</x:v>
      </x:c>
      <x:c r="Q367" s="46" t="n">
        <x:f>IF(AND(L367&lt;&gt;"",L367&lt;&gt;0,M367&lt;&gt;""),M367/L367,"")</x:f>
        <x:v>0.92</x:v>
      </x:c>
      <x:c r="R367" s="45" t="n">
        <x:f>IF(N367&lt;&gt;"",N367,IF(O367&lt;&gt;"",O367,""))</x:f>
        <x:v>1.203478260869565</x:v>
      </x:c>
      <x:c r="S367" s="2" t="str">
        <x:f>IF(N367&lt;&gt;"","志愿/合格",IF(O367&lt;&gt;"","受验/合格",""))</x:f>
        <x:v>志愿/合格</x:v>
      </x:c>
      <x:c r="T367" s="2" t="str">
        <x:v>官方</x:v>
      </x:c>
      <x:c r="U367" s="2" t="str">
        <x:v>高</x:v>
      </x:c>
      <x:c r="V367" s="27" t="str">
        <x:v>令和8年度大学院入学試験結果（システム情報工学研究群）</x:v>
      </x:c>
      <x:c r="W367" s="27" t="str">
        <x:v>p.1 博士前期「小計」行</x:v>
      </x:c>
      <x:c r="X367" s="27" t="str">
        <x:v>https://www.tsukuba.ac.jp/admission/graduate-result/pdf/r8-systems-info-engineering.pdf</x:v>
      </x:c>
      <x:c r="Y367" s="27" t="str">
        <x:v>研究群の博士前期課程小計。学位プログラム別ではなく、研究群全体の公式値。</x:v>
      </x:c>
      <x:c r="Z367" s="47" t="str">
        <x:v>令和8年度から特別プログラムを各学位プログラム表に併記。一貫制博士課程は含めない。</x:v>
      </x:c>
    </x:row>
    <x:row r="368" ht="38" customHeight="1">
      <x:c r="A368" s="2" t="str">
        <x:v>筑波大学</x:v>
      </x:c>
      <x:c r="B368" s="2" t="str">
        <x:v>理工情報生命学術院</x:v>
      </x:c>
      <x:c r="C368" s="2" t="str">
        <x:v>数理物質科学研究群</x:v>
      </x:c>
      <x:c r="D368" s="44" t="n">
        <x:v>2022</x:v>
      </x:c>
      <x:c r="E368" s="27" t="str">
        <x:v>全年合計（10月1日現在）</x:v>
      </x:c>
      <x:c r="F368" s="27" t="str">
        <x:v>博士前期課程</x:v>
      </x:c>
      <x:c r="G368" s="27" t="str">
        <x:v>一般・推薦・社会人等の研究群小計</x:v>
      </x:c>
      <x:c r="H368" s="27" t="str">
        <x:v>专攻/系</x:v>
      </x:c>
      <x:c r="I368" s="44" t="n">
        <x:v>276</x:v>
      </x:c>
      <x:c r="J368" s="44" t="n">
        <x:v>406</x:v>
      </x:c>
      <x:c r="K368" s="44" t="n">
        <x:v>385</x:v>
      </x:c>
      <x:c r="L368" s="44" t="n">
        <x:v>311</x:v>
      </x:c>
      <x:c r="M368" s="44" t="n">
        <x:v>276</x:v>
      </x:c>
      <x:c r="N368" s="45" t="n">
        <x:f>IF(AND(J368&lt;&gt;"",L368&lt;&gt;0),J368/L368,"")</x:f>
        <x:v>1.3054662379421222</x:v>
      </x:c>
      <x:c r="O368" s="45" t="n">
        <x:f>IF(AND(K368&lt;&gt;"",L368&lt;&gt;0),K368/L368,"")</x:f>
        <x:v>1.2379421221864952</x:v>
      </x:c>
      <x:c r="P368" s="46" t="n">
        <x:f>IF(AND(K368&lt;&gt;"",K368&lt;&gt;0,L368&lt;&gt;""),L368/K368,"")</x:f>
        <x:v>0.8077922077922078</x:v>
      </x:c>
      <x:c r="Q368" s="46" t="n">
        <x:f>IF(AND(L368&lt;&gt;"",L368&lt;&gt;0,M368&lt;&gt;""),M368/L368,"")</x:f>
        <x:v>0.887459807073955</x:v>
      </x:c>
      <x:c r="R368" s="45" t="n">
        <x:f>IF(N368&lt;&gt;"",N368,IF(O368&lt;&gt;"",O368,""))</x:f>
        <x:v>1.3054662379421222</x:v>
      </x:c>
      <x:c r="S368" s="2" t="str">
        <x:f>IF(N368&lt;&gt;"","志愿/合格",IF(O368&lt;&gt;"","受验/合格",""))</x:f>
        <x:v>志愿/合格</x:v>
      </x:c>
      <x:c r="T368" s="2" t="str">
        <x:v>官方</x:v>
      </x:c>
      <x:c r="U368" s="2" t="str">
        <x:v>高</x:v>
      </x:c>
      <x:c r="V368" s="27" t="str">
        <x:v>令和4年度大学院入学試験結果（数理物質科学研究群）</x:v>
      </x:c>
      <x:c r="W368" s="27" t="str">
        <x:v>p.1 博士前期「小計」行</x:v>
      </x:c>
      <x:c r="X368" s="27" t="str">
        <x:v>https://www.tsukuba.ac.jp/admission/graduate-result/pdf/r4-3.pdf</x:v>
      </x:c>
      <x:c r="Y368" s="27" t="str">
        <x:v>研究群の博士前期課程小計。学位プログラム別ではなく、研究群全体の公式値。</x:v>
      </x:c>
      <x:c r="Z368" s="47" t="str">
        <x:v>注記により一部の特別プログラム値を除く場合がある。一貫制博士課程は含めない。</x:v>
      </x:c>
    </x:row>
    <x:row r="369" ht="38" customHeight="1">
      <x:c r="A369" s="2" t="str">
        <x:v>筑波大学</x:v>
      </x:c>
      <x:c r="B369" s="2" t="str">
        <x:v>理工情報生命学術院</x:v>
      </x:c>
      <x:c r="C369" s="2" t="str">
        <x:v>数理物質科学研究群</x:v>
      </x:c>
      <x:c r="D369" s="44" t="n">
        <x:v>2023</x:v>
      </x:c>
      <x:c r="E369" s="27" t="str">
        <x:v>全年合計（10月1日現在）</x:v>
      </x:c>
      <x:c r="F369" s="27" t="str">
        <x:v>博士前期課程</x:v>
      </x:c>
      <x:c r="G369" s="27" t="str">
        <x:v>一般・推薦・社会人等の研究群小計</x:v>
      </x:c>
      <x:c r="H369" s="27" t="str">
        <x:v>专攻/系</x:v>
      </x:c>
      <x:c r="I369" s="44" t="n">
        <x:v>276</x:v>
      </x:c>
      <x:c r="J369" s="44" t="n">
        <x:v>403</x:v>
      </x:c>
      <x:c r="K369" s="44" t="n">
        <x:v>385</x:v>
      </x:c>
      <x:c r="L369" s="44" t="n">
        <x:v>292</x:v>
      </x:c>
      <x:c r="M369" s="44" t="n">
        <x:v>274</x:v>
      </x:c>
      <x:c r="N369" s="45" t="n">
        <x:f>IF(AND(J369&lt;&gt;"",L369&lt;&gt;0),J369/L369,"")</x:f>
        <x:v>1.38013698630137</x:v>
      </x:c>
      <x:c r="O369" s="45" t="n">
        <x:f>IF(AND(K369&lt;&gt;"",L369&lt;&gt;0),K369/L369,"")</x:f>
        <x:v>1.3184931506849316</x:v>
      </x:c>
      <x:c r="P369" s="46" t="n">
        <x:f>IF(AND(K369&lt;&gt;"",K369&lt;&gt;0,L369&lt;&gt;""),L369/K369,"")</x:f>
        <x:v>0.7584415584415585</x:v>
      </x:c>
      <x:c r="Q369" s="46" t="n">
        <x:f>IF(AND(L369&lt;&gt;"",L369&lt;&gt;0,M369&lt;&gt;""),M369/L369,"")</x:f>
        <x:v>0.9383561643835616</x:v>
      </x:c>
      <x:c r="R369" s="45" t="n">
        <x:f>IF(N369&lt;&gt;"",N369,IF(O369&lt;&gt;"",O369,""))</x:f>
        <x:v>1.38013698630137</x:v>
      </x:c>
      <x:c r="S369" s="2" t="str">
        <x:f>IF(N369&lt;&gt;"","志愿/合格",IF(O369&lt;&gt;"","受验/合格",""))</x:f>
        <x:v>志愿/合格</x:v>
      </x:c>
      <x:c r="T369" s="2" t="str">
        <x:v>官方</x:v>
      </x:c>
      <x:c r="U369" s="2" t="str">
        <x:v>高</x:v>
      </x:c>
      <x:c r="V369" s="27" t="str">
        <x:v>令和5年度大学院入学試験結果（数理物質科学研究群）</x:v>
      </x:c>
      <x:c r="W369" s="27" t="str">
        <x:v>p.1 博士前期「小計」行</x:v>
      </x:c>
      <x:c r="X369" s="27" t="str">
        <x:v>https://www.tsukuba.ac.jp/admission/graduate-result/pdf/r5-pure-applied-sciences.pdf</x:v>
      </x:c>
      <x:c r="Y369" s="27" t="str">
        <x:v>研究群の博士前期課程小計。学位プログラム別ではなく、研究群全体の公式値。</x:v>
      </x:c>
      <x:c r="Z369" s="47" t="str">
        <x:v>注記により一部の特別プログラム値を除く場合がある。一貫制博士課程は含めない。</x:v>
      </x:c>
    </x:row>
    <x:row r="370" ht="38" customHeight="1">
      <x:c r="A370" s="2" t="str">
        <x:v>筑波大学</x:v>
      </x:c>
      <x:c r="B370" s="2" t="str">
        <x:v>理工情報生命学術院</x:v>
      </x:c>
      <x:c r="C370" s="2" t="str">
        <x:v>数理物質科学研究群</x:v>
      </x:c>
      <x:c r="D370" s="44" t="n">
        <x:v>2024</x:v>
      </x:c>
      <x:c r="E370" s="27" t="str">
        <x:v>全年合計（10月1日現在）</x:v>
      </x:c>
      <x:c r="F370" s="27" t="str">
        <x:v>博士前期課程</x:v>
      </x:c>
      <x:c r="G370" s="27" t="str">
        <x:v>一般・推薦・社会人等の研究群小計</x:v>
      </x:c>
      <x:c r="H370" s="27" t="str">
        <x:v>专攻/系</x:v>
      </x:c>
      <x:c r="I370" s="44" t="n">
        <x:v>276</x:v>
      </x:c>
      <x:c r="J370" s="44" t="n">
        <x:v>410</x:v>
      </x:c>
      <x:c r="K370" s="44" t="n">
        <x:v>390</x:v>
      </x:c>
      <x:c r="L370" s="44" t="n">
        <x:v>309</x:v>
      </x:c>
      <x:c r="M370" s="44" t="n">
        <x:v>285</x:v>
      </x:c>
      <x:c r="N370" s="45" t="n">
        <x:f>IF(AND(J370&lt;&gt;"",L370&lt;&gt;0),J370/L370,"")</x:f>
        <x:v>1.3268608414239482</x:v>
      </x:c>
      <x:c r="O370" s="45" t="n">
        <x:f>IF(AND(K370&lt;&gt;"",L370&lt;&gt;0),K370/L370,"")</x:f>
        <x:v>1.2621359223300972</x:v>
      </x:c>
      <x:c r="P370" s="46" t="n">
        <x:f>IF(AND(K370&lt;&gt;"",K370&lt;&gt;0,L370&lt;&gt;""),L370/K370,"")</x:f>
        <x:v>0.7923076923076923</x:v>
      </x:c>
      <x:c r="Q370" s="46" t="n">
        <x:f>IF(AND(L370&lt;&gt;"",L370&lt;&gt;0,M370&lt;&gt;""),M370/L370,"")</x:f>
        <x:v>0.9223300970873787</x:v>
      </x:c>
      <x:c r="R370" s="45" t="n">
        <x:f>IF(N370&lt;&gt;"",N370,IF(O370&lt;&gt;"",O370,""))</x:f>
        <x:v>1.3268608414239482</x:v>
      </x:c>
      <x:c r="S370" s="2" t="str">
        <x:f>IF(N370&lt;&gt;"","志愿/合格",IF(O370&lt;&gt;"","受验/合格",""))</x:f>
        <x:v>志愿/合格</x:v>
      </x:c>
      <x:c r="T370" s="2" t="str">
        <x:v>官方</x:v>
      </x:c>
      <x:c r="U370" s="2" t="str">
        <x:v>高</x:v>
      </x:c>
      <x:c r="V370" s="27" t="str">
        <x:v>令和6年度大学院入学試験結果（数理物質科学研究群）</x:v>
      </x:c>
      <x:c r="W370" s="27" t="str">
        <x:v>p.1 博士前期「小計」行</x:v>
      </x:c>
      <x:c r="X370" s="27" t="str">
        <x:v>https://www.tsukuba.ac.jp/admission/graduate-result/pdf/r6-pure-applied-sciences.pdf</x:v>
      </x:c>
      <x:c r="Y370" s="27" t="str">
        <x:v>研究群の博士前期課程小計。学位プログラム別ではなく、研究群全体の公式値。</x:v>
      </x:c>
      <x:c r="Z370" s="47" t="str">
        <x:v>注記により一部の特別プログラム値を除く場合がある。一貫制博士課程は含めない。</x:v>
      </x:c>
    </x:row>
    <x:row r="371" ht="38" customHeight="1">
      <x:c r="A371" s="2" t="str">
        <x:v>筑波大学</x:v>
      </x:c>
      <x:c r="B371" s="2" t="str">
        <x:v>理工情報生命学術院</x:v>
      </x:c>
      <x:c r="C371" s="2" t="str">
        <x:v>数理物質科学研究群</x:v>
      </x:c>
      <x:c r="D371" s="44" t="n">
        <x:v>2025</x:v>
      </x:c>
      <x:c r="E371" s="27" t="str">
        <x:v>全年合計（10月1日現在）</x:v>
      </x:c>
      <x:c r="F371" s="27" t="str">
        <x:v>博士前期課程</x:v>
      </x:c>
      <x:c r="G371" s="27" t="str">
        <x:v>一般・推薦・社会人等の研究群小計</x:v>
      </x:c>
      <x:c r="H371" s="27" t="str">
        <x:v>专攻/系</x:v>
      </x:c>
      <x:c r="I371" s="44" t="n">
        <x:v>276</x:v>
      </x:c>
      <x:c r="J371" s="44" t="n">
        <x:v>451</x:v>
      </x:c>
      <x:c r="K371" s="44" t="n">
        <x:v>423</x:v>
      </x:c>
      <x:c r="L371" s="44" t="n">
        <x:v>321</x:v>
      </x:c>
      <x:c r="M371" s="44" t="n">
        <x:v>295</x:v>
      </x:c>
      <x:c r="N371" s="45" t="n">
        <x:f>IF(AND(J371&lt;&gt;"",L371&lt;&gt;0),J371/L371,"")</x:f>
        <x:v>1.4049844236760125</x:v>
      </x:c>
      <x:c r="O371" s="45" t="n">
        <x:f>IF(AND(K371&lt;&gt;"",L371&lt;&gt;0),K371/L371,"")</x:f>
        <x:v>1.3177570093457944</x:v>
      </x:c>
      <x:c r="P371" s="46" t="n">
        <x:f>IF(AND(K371&lt;&gt;"",K371&lt;&gt;0,L371&lt;&gt;""),L371/K371,"")</x:f>
        <x:v>0.7588652482269503</x:v>
      </x:c>
      <x:c r="Q371" s="46" t="n">
        <x:f>IF(AND(L371&lt;&gt;"",L371&lt;&gt;0,M371&lt;&gt;""),M371/L371,"")</x:f>
        <x:v>0.9190031152647975</x:v>
      </x:c>
      <x:c r="R371" s="45" t="n">
        <x:f>IF(N371&lt;&gt;"",N371,IF(O371&lt;&gt;"",O371,""))</x:f>
        <x:v>1.4049844236760125</x:v>
      </x:c>
      <x:c r="S371" s="2" t="str">
        <x:f>IF(N371&lt;&gt;"","志愿/合格",IF(O371&lt;&gt;"","受验/合格",""))</x:f>
        <x:v>志愿/合格</x:v>
      </x:c>
      <x:c r="T371" s="2" t="str">
        <x:v>官方</x:v>
      </x:c>
      <x:c r="U371" s="2" t="str">
        <x:v>高</x:v>
      </x:c>
      <x:c r="V371" s="27" t="str">
        <x:v>令和7年度大学院入学試験結果（数理物質科学研究群）</x:v>
      </x:c>
      <x:c r="W371" s="27" t="str">
        <x:v>p.1 博士前期「小計」行</x:v>
      </x:c>
      <x:c r="X371" s="27" t="str">
        <x:v>https://www.tsukuba.ac.jp/admission/graduate-result/pdf/r7-pure-applied-sciences.pdf</x:v>
      </x:c>
      <x:c r="Y371" s="27" t="str">
        <x:v>研究群の博士前期課程小計。学位プログラム別ではなく、研究群全体の公式値。</x:v>
      </x:c>
      <x:c r="Z371" s="47" t="str">
        <x:v>注記により一部の特別プログラム値を除く場合がある。一貫制博士課程は含めない。</x:v>
      </x:c>
    </x:row>
    <x:row r="372" ht="38" customHeight="1">
      <x:c r="A372" s="2" t="str">
        <x:v>筑波大学</x:v>
      </x:c>
      <x:c r="B372" s="2" t="str">
        <x:v>理工情報生命学術院</x:v>
      </x:c>
      <x:c r="C372" s="2" t="str">
        <x:v>数理物質科学研究群</x:v>
      </x:c>
      <x:c r="D372" s="44" t="n">
        <x:v>2026</x:v>
      </x:c>
      <x:c r="E372" s="27" t="str">
        <x:v>全年合計（4月1日現在）</x:v>
      </x:c>
      <x:c r="F372" s="27" t="str">
        <x:v>博士前期課程</x:v>
      </x:c>
      <x:c r="G372" s="27" t="str">
        <x:v>一般・推薦・社会人等の研究群小計</x:v>
      </x:c>
      <x:c r="H372" s="27" t="str">
        <x:v>专攻/系</x:v>
      </x:c>
      <x:c r="I372" s="44" t="n">
        <x:v>276</x:v>
      </x:c>
      <x:c r="J372" s="44" t="n">
        <x:v>413</x:v>
      </x:c>
      <x:c r="K372" s="44" t="n">
        <x:v>391</x:v>
      </x:c>
      <x:c r="L372" s="44" t="n">
        <x:v>312</x:v>
      </x:c>
      <x:c r="M372" s="44" t="n">
        <x:v>281</x:v>
      </x:c>
      <x:c r="N372" s="45" t="n">
        <x:f>IF(AND(J372&lt;&gt;"",L372&lt;&gt;0),J372/L372,"")</x:f>
        <x:v>1.3237179487179487</x:v>
      </x:c>
      <x:c r="O372" s="45" t="n">
        <x:f>IF(AND(K372&lt;&gt;"",L372&lt;&gt;0),K372/L372,"")</x:f>
        <x:v>1.2532051282051282</x:v>
      </x:c>
      <x:c r="P372" s="46" t="n">
        <x:f>IF(AND(K372&lt;&gt;"",K372&lt;&gt;0,L372&lt;&gt;""),L372/K372,"")</x:f>
        <x:v>0.7979539641943734</x:v>
      </x:c>
      <x:c r="Q372" s="46" t="n">
        <x:f>IF(AND(L372&lt;&gt;"",L372&lt;&gt;0,M372&lt;&gt;""),M372/L372,"")</x:f>
        <x:v>0.9006410256410257</x:v>
      </x:c>
      <x:c r="R372" s="45" t="n">
        <x:f>IF(N372&lt;&gt;"",N372,IF(O372&lt;&gt;"",O372,""))</x:f>
        <x:v>1.3237179487179487</x:v>
      </x:c>
      <x:c r="S372" s="2" t="str">
        <x:f>IF(N372&lt;&gt;"","志愿/合格",IF(O372&lt;&gt;"","受验/合格",""))</x:f>
        <x:v>志愿/合格</x:v>
      </x:c>
      <x:c r="T372" s="2" t="str">
        <x:v>官方</x:v>
      </x:c>
      <x:c r="U372" s="2" t="str">
        <x:v>高</x:v>
      </x:c>
      <x:c r="V372" s="27" t="str">
        <x:v>令和8年度大学院入学試験結果（数理物質科学研究群）</x:v>
      </x:c>
      <x:c r="W372" s="27" t="str">
        <x:v>p.1 博士前期「小計」行</x:v>
      </x:c>
      <x:c r="X372" s="27" t="str">
        <x:v>https://www.tsukuba.ac.jp/admission/graduate-result/pdf/r8-pure-applied-sciences.pdf</x:v>
      </x:c>
      <x:c r="Y372" s="27" t="str">
        <x:v>研究群の博士前期課程小計。学位プログラム別ではなく、研究群全体の公式値。</x:v>
      </x:c>
      <x:c r="Z372" s="47" t="str">
        <x:v>令和8年度から特別プログラムを各学位プログラム表に併記。一貫制博士課程は含めない。</x:v>
      </x:c>
    </x:row>
    <x:row r="373" ht="38" customHeight="1">
      <x:c r="A373" s="2" t="str">
        <x:v>電気通信大学</x:v>
      </x:c>
      <x:c r="B373" s="2" t="str">
        <x:v>情報理工学研究科</x:v>
      </x:c>
      <x:c r="C373" s="2" t="str">
        <x:v>基盤理工学専攻</x:v>
      </x:c>
      <x:c r="D373" s="44" t="n">
        <x:v>2022</x:v>
      </x:c>
      <x:c r="E373" s="27" t="str">
        <x:v>全年合計</x:v>
      </x:c>
      <x:c r="F373" s="27" t="str">
        <x:v>博士前期課程</x:v>
      </x:c>
      <x:c r="G373" s="27" t="str">
        <x:v>一般入試</x:v>
      </x:c>
      <x:c r="H373" s="27" t="str">
        <x:v>专攻/系</x:v>
      </x:c>
      <x:c r="I373" s="44" t="n">
        <x:v>81</x:v>
      </x:c>
      <x:c r="J373" s="44" t="n">
        <x:v>96</x:v>
      </x:c>
      <x:c r="K373" s="44" t="n">
        <x:v>96</x:v>
      </x:c>
      <x:c r="L373" s="44" t="n">
        <x:v>90</x:v>
      </x:c>
      <x:c r="M373" s="44" t="n">
        <x:v>75</x:v>
      </x:c>
      <x:c r="N373" s="45" t="n">
        <x:f>IF(AND(J373&lt;&gt;"",L373&lt;&gt;0),J373/L373,"")</x:f>
        <x:v>1.0666666666666667</x:v>
      </x:c>
      <x:c r="O373" s="45" t="n">
        <x:f>IF(AND(K373&lt;&gt;"",L373&lt;&gt;0),K373/L373,"")</x:f>
        <x:v>1.0666666666666667</x:v>
      </x:c>
      <x:c r="P373" s="46" t="n">
        <x:f>IF(AND(K373&lt;&gt;"",K373&lt;&gt;0,L373&lt;&gt;""),L373/K373,"")</x:f>
        <x:v>0.9375</x:v>
      </x:c>
      <x:c r="Q373" s="46" t="n">
        <x:f>IF(AND(L373&lt;&gt;"",L373&lt;&gt;0,M373&lt;&gt;""),M373/L373,"")</x:f>
        <x:v>0.8333333333333334</x:v>
      </x:c>
      <x:c r="R373" s="45" t="n">
        <x:f>IF(N373&lt;&gt;"",N373,IF(O373&lt;&gt;"",O373,""))</x:f>
        <x:v>1.0666666666666667</x:v>
      </x:c>
      <x:c r="S373" s="2" t="str">
        <x:f>IF(N373&lt;&gt;"","志愿/合格",IF(O373&lt;&gt;"","受验/合格",""))</x:f>
        <x:v>志愿/合格</x:v>
      </x:c>
      <x:c r="T373" s="2" t="str">
        <x:v>官方</x:v>
      </x:c>
      <x:c r="U373" s="2" t="str">
        <x:v>高</x:v>
      </x:c>
      <x:c r="V373" s="27" t="str">
        <x:v>2022年4月入学 大学院情報理工学研究科（IE）入学者選抜状況</x:v>
      </x:c>
      <x:c r="W373" s="27" t="str">
        <x:v>p.1《博士前期課程》一般入試・基盤理工学専攻行</x:v>
      </x:c>
      <x:c r="X373" s="27" t="str">
        <x:v>https://www.uec.ac.jp/education/graduate/admission/pdf/ie2022.pdf</x:v>
      </x:c>
      <x:c r="Y373" s="27" t="str">
        <x:v>専攻別の公式値。社会人入試の募集人員は「若干名」のため capacity=null。</x:v>
      </x:c>
      <x:c r="Z373" s="47" t="str">
        <x:v>PDFの「志願者数・受験者数・合格者数・入学者数」を転記。</x:v>
      </x:c>
    </x:row>
    <x:row r="374" ht="38" customHeight="1">
      <x:c r="A374" s="2" t="str">
        <x:v>電気通信大学</x:v>
      </x:c>
      <x:c r="B374" s="2" t="str">
        <x:v>情報理工学研究科</x:v>
      </x:c>
      <x:c r="C374" s="2" t="str">
        <x:v>基盤理工学専攻</x:v>
      </x:c>
      <x:c r="D374" s="44" t="n">
        <x:v>2022</x:v>
      </x:c>
      <x:c r="E374" s="27" t="str">
        <x:v>全年合計</x:v>
      </x:c>
      <x:c r="F374" s="27" t="str">
        <x:v>博士前期課程</x:v>
      </x:c>
      <x:c r="G374" s="27" t="str">
        <x:v>推薦入試</x:v>
      </x:c>
      <x:c r="H374" s="27" t="str">
        <x:v>专攻/系</x:v>
      </x:c>
      <x:c r="I374" s="44" t="n">
        <x:v>54</x:v>
      </x:c>
      <x:c r="J374" s="44" t="n">
        <x:v>43</x:v>
      </x:c>
      <x:c r="K374" s="44" t="n">
        <x:v>43</x:v>
      </x:c>
      <x:c r="L374" s="44" t="n">
        <x:v>43</x:v>
      </x:c>
      <x:c r="M374" s="44" t="n">
        <x:v>40</x:v>
      </x:c>
      <x:c r="N374" s="45" t="n">
        <x:f>IF(AND(J374&lt;&gt;"",L374&lt;&gt;0),J374/L374,"")</x:f>
        <x:v>1</x:v>
      </x:c>
      <x:c r="O374" s="45" t="n">
        <x:f>IF(AND(K374&lt;&gt;"",L374&lt;&gt;0),K374/L374,"")</x:f>
        <x:v>1</x:v>
      </x:c>
      <x:c r="P374" s="46" t="n">
        <x:f>IF(AND(K374&lt;&gt;"",K374&lt;&gt;0,L374&lt;&gt;""),L374/K374,"")</x:f>
        <x:v>1</x:v>
      </x:c>
      <x:c r="Q374" s="46" t="n">
        <x:f>IF(AND(L374&lt;&gt;"",L374&lt;&gt;0,M374&lt;&gt;""),M374/L374,"")</x:f>
        <x:v>0.9302325581395349</x:v>
      </x:c>
      <x:c r="R374" s="45" t="n">
        <x:f>IF(N374&lt;&gt;"",N374,IF(O374&lt;&gt;"",O374,""))</x:f>
        <x:v>1</x:v>
      </x:c>
      <x:c r="S374" s="2" t="str">
        <x:f>IF(N374&lt;&gt;"","志愿/合格",IF(O374&lt;&gt;"","受验/合格",""))</x:f>
        <x:v>志愿/合格</x:v>
      </x:c>
      <x:c r="T374" s="2" t="str">
        <x:v>官方</x:v>
      </x:c>
      <x:c r="U374" s="2" t="str">
        <x:v>高</x:v>
      </x:c>
      <x:c r="V374" s="27" t="str">
        <x:v>2022年4月入学 大学院情報理工学研究科（IE）入学者選抜状況</x:v>
      </x:c>
      <x:c r="W374" s="27" t="str">
        <x:v>p.1《博士前期課程》推薦入試・基盤理工学専攻行</x:v>
      </x:c>
      <x:c r="X374" s="27" t="str">
        <x:v>https://www.uec.ac.jp/education/graduate/admission/pdf/ie2022.pdf</x:v>
      </x:c>
      <x:c r="Y374" s="27" t="str">
        <x:v>専攻別の公式値。社会人入試の募集人員は「若干名」のため capacity=null。</x:v>
      </x:c>
      <x:c r="Z374" s="47" t="str">
        <x:v>PDFの「志願者数・受験者数・合格者数・入学者数」を転記。</x:v>
      </x:c>
    </x:row>
    <x:row r="375" ht="38" customHeight="1">
      <x:c r="A375" s="2" t="str">
        <x:v>電気通信大学</x:v>
      </x:c>
      <x:c r="B375" s="2" t="str">
        <x:v>情報理工学研究科</x:v>
      </x:c>
      <x:c r="C375" s="2" t="str">
        <x:v>基盤理工学専攻</x:v>
      </x:c>
      <x:c r="D375" s="44" t="n">
        <x:v>2022</x:v>
      </x:c>
      <x:c r="E375" s="27" t="str">
        <x:v>全年合計</x:v>
      </x:c>
      <x:c r="F375" s="27" t="str">
        <x:v>博士前期課程</x:v>
      </x:c>
      <x:c r="G375" s="27" t="str">
        <x:v>社会人入試</x:v>
      </x:c>
      <x:c r="H375" s="27" t="str">
        <x:v>专攻/系</x:v>
      </x:c>
      <x:c r="I375" s="44"/>
      <x:c r="J375" s="44" t="n">
        <x:v>1</x:v>
      </x:c>
      <x:c r="K375" s="44" t="n">
        <x:v>1</x:v>
      </x:c>
      <x:c r="L375" s="44" t="n">
        <x:v>1</x:v>
      </x:c>
      <x:c r="M375" s="44" t="n">
        <x:v>1</x:v>
      </x:c>
      <x:c r="N375" s="45" t="n">
        <x:f>IF(AND(J375&lt;&gt;"",L375&lt;&gt;0),J375/L375,"")</x:f>
        <x:v>1</x:v>
      </x:c>
      <x:c r="O375" s="45" t="n">
        <x:f>IF(AND(K375&lt;&gt;"",L375&lt;&gt;0),K375/L375,"")</x:f>
        <x:v>1</x:v>
      </x:c>
      <x:c r="P375" s="46" t="n">
        <x:f>IF(AND(K375&lt;&gt;"",K375&lt;&gt;0,L375&lt;&gt;""),L375/K375,"")</x:f>
        <x:v>1</x:v>
      </x:c>
      <x:c r="Q375" s="46" t="n">
        <x:f>IF(AND(L375&lt;&gt;"",L375&lt;&gt;0,M375&lt;&gt;""),M375/L375,"")</x:f>
        <x:v>1</x:v>
      </x:c>
      <x:c r="R375" s="45" t="n">
        <x:f>IF(N375&lt;&gt;"",N375,IF(O375&lt;&gt;"",O375,""))</x:f>
        <x:v>1</x:v>
      </x:c>
      <x:c r="S375" s="2" t="str">
        <x:f>IF(N375&lt;&gt;"","志愿/合格",IF(O375&lt;&gt;"","受验/合格",""))</x:f>
        <x:v>志愿/合格</x:v>
      </x:c>
      <x:c r="T375" s="2" t="str">
        <x:v>官方</x:v>
      </x:c>
      <x:c r="U375" s="2" t="str">
        <x:v>高</x:v>
      </x:c>
      <x:c r="V375" s="27" t="str">
        <x:v>2022年4月入学 大学院情報理工学研究科（IE）入学者選抜状況</x:v>
      </x:c>
      <x:c r="W375" s="27" t="str">
        <x:v>p.1《博士前期課程》社会人入試・基盤理工学専攻行</x:v>
      </x:c>
      <x:c r="X375" s="27" t="str">
        <x:v>https://www.uec.ac.jp/education/graduate/admission/pdf/ie2022.pdf</x:v>
      </x:c>
      <x:c r="Y375" s="27" t="str">
        <x:v>専攻別の公式値。社会人入試の募集人員は「若干名」のため capacity=null。</x:v>
      </x:c>
      <x:c r="Z375" s="47" t="str">
        <x:v>PDFの「志願者数・受験者数・合格者数・入学者数」を転記。</x:v>
      </x:c>
    </x:row>
    <x:row r="376" ht="38" customHeight="1">
      <x:c r="A376" s="2" t="str">
        <x:v>電気通信大学</x:v>
      </x:c>
      <x:c r="B376" s="2" t="str">
        <x:v>情報理工学研究科</x:v>
      </x:c>
      <x:c r="C376" s="2" t="str">
        <x:v>基盤理工学専攻</x:v>
      </x:c>
      <x:c r="D376" s="44" t="n">
        <x:v>2023</x:v>
      </x:c>
      <x:c r="E376" s="27" t="str">
        <x:v>全年合計</x:v>
      </x:c>
      <x:c r="F376" s="27" t="str">
        <x:v>博士前期課程</x:v>
      </x:c>
      <x:c r="G376" s="27" t="str">
        <x:v>一般入試</x:v>
      </x:c>
      <x:c r="H376" s="27" t="str">
        <x:v>专攻/系</x:v>
      </x:c>
      <x:c r="I376" s="44" t="n">
        <x:v>81</x:v>
      </x:c>
      <x:c r="J376" s="44" t="n">
        <x:v>92</x:v>
      </x:c>
      <x:c r="K376" s="44" t="n">
        <x:v>90</x:v>
      </x:c>
      <x:c r="L376" s="44" t="n">
        <x:v>87</x:v>
      </x:c>
      <x:c r="M376" s="44" t="n">
        <x:v>74</x:v>
      </x:c>
      <x:c r="N376" s="45" t="n">
        <x:f>IF(AND(J376&lt;&gt;"",L376&lt;&gt;0),J376/L376,"")</x:f>
        <x:v>1.0574712643678161</x:v>
      </x:c>
      <x:c r="O376" s="45" t="n">
        <x:f>IF(AND(K376&lt;&gt;"",L376&lt;&gt;0),K376/L376,"")</x:f>
        <x:v>1.0344827586206897</x:v>
      </x:c>
      <x:c r="P376" s="46" t="n">
        <x:f>IF(AND(K376&lt;&gt;"",K376&lt;&gt;0,L376&lt;&gt;""),L376/K376,"")</x:f>
        <x:v>0.9666666666666667</x:v>
      </x:c>
      <x:c r="Q376" s="46" t="n">
        <x:f>IF(AND(L376&lt;&gt;"",L376&lt;&gt;0,M376&lt;&gt;""),M376/L376,"")</x:f>
        <x:v>0.8505747126436781</x:v>
      </x:c>
      <x:c r="R376" s="45" t="n">
        <x:f>IF(N376&lt;&gt;"",N376,IF(O376&lt;&gt;"",O376,""))</x:f>
        <x:v>1.0574712643678161</x:v>
      </x:c>
      <x:c r="S376" s="2" t="str">
        <x:f>IF(N376&lt;&gt;"","志愿/合格",IF(O376&lt;&gt;"","受验/合格",""))</x:f>
        <x:v>志愿/合格</x:v>
      </x:c>
      <x:c r="T376" s="2" t="str">
        <x:v>官方</x:v>
      </x:c>
      <x:c r="U376" s="2" t="str">
        <x:v>高</x:v>
      </x:c>
      <x:c r="V376" s="27" t="str">
        <x:v>2023年4月入学 大学院情報理工学研究科（IE）入学者選抜状況</x:v>
      </x:c>
      <x:c r="W376" s="27" t="str">
        <x:v>p.1《博士前期課程》一般入試・基盤理工学専攻行</x:v>
      </x:c>
      <x:c r="X376" s="27" t="str">
        <x:v>https://www.uec.ac.jp/education/graduate/admission/pdf/ie2023.pdf</x:v>
      </x:c>
      <x:c r="Y376" s="27" t="str">
        <x:v>専攻別の公式値。社会人入試の募集人員は「若干名」のため capacity=null。</x:v>
      </x:c>
      <x:c r="Z376" s="47" t="str">
        <x:v>PDFの「志願者数・受験者数・合格者数・入学者数」を転記。</x:v>
      </x:c>
    </x:row>
    <x:row r="377" ht="38" customHeight="1">
      <x:c r="A377" s="2" t="str">
        <x:v>電気通信大学</x:v>
      </x:c>
      <x:c r="B377" s="2" t="str">
        <x:v>情報理工学研究科</x:v>
      </x:c>
      <x:c r="C377" s="2" t="str">
        <x:v>基盤理工学専攻</x:v>
      </x:c>
      <x:c r="D377" s="44" t="n">
        <x:v>2023</x:v>
      </x:c>
      <x:c r="E377" s="27" t="str">
        <x:v>全年合計</x:v>
      </x:c>
      <x:c r="F377" s="27" t="str">
        <x:v>博士前期課程</x:v>
      </x:c>
      <x:c r="G377" s="27" t="str">
        <x:v>推薦入試</x:v>
      </x:c>
      <x:c r="H377" s="27" t="str">
        <x:v>专攻/系</x:v>
      </x:c>
      <x:c r="I377" s="44" t="n">
        <x:v>54</x:v>
      </x:c>
      <x:c r="J377" s="44" t="n">
        <x:v>50</x:v>
      </x:c>
      <x:c r="K377" s="44" t="n">
        <x:v>50</x:v>
      </x:c>
      <x:c r="L377" s="44" t="n">
        <x:v>50</x:v>
      </x:c>
      <x:c r="M377" s="44" t="n">
        <x:v>50</x:v>
      </x:c>
      <x:c r="N377" s="45" t="n">
        <x:f>IF(AND(J377&lt;&gt;"",L377&lt;&gt;0),J377/L377,"")</x:f>
        <x:v>1</x:v>
      </x:c>
      <x:c r="O377" s="45" t="n">
        <x:f>IF(AND(K377&lt;&gt;"",L377&lt;&gt;0),K377/L377,"")</x:f>
        <x:v>1</x:v>
      </x:c>
      <x:c r="P377" s="46" t="n">
        <x:f>IF(AND(K377&lt;&gt;"",K377&lt;&gt;0,L377&lt;&gt;""),L377/K377,"")</x:f>
        <x:v>1</x:v>
      </x:c>
      <x:c r="Q377" s="46" t="n">
        <x:f>IF(AND(L377&lt;&gt;"",L377&lt;&gt;0,M377&lt;&gt;""),M377/L377,"")</x:f>
        <x:v>1</x:v>
      </x:c>
      <x:c r="R377" s="45" t="n">
        <x:f>IF(N377&lt;&gt;"",N377,IF(O377&lt;&gt;"",O377,""))</x:f>
        <x:v>1</x:v>
      </x:c>
      <x:c r="S377" s="2" t="str">
        <x:f>IF(N377&lt;&gt;"","志愿/合格",IF(O377&lt;&gt;"","受验/合格",""))</x:f>
        <x:v>志愿/合格</x:v>
      </x:c>
      <x:c r="T377" s="2" t="str">
        <x:v>官方</x:v>
      </x:c>
      <x:c r="U377" s="2" t="str">
        <x:v>高</x:v>
      </x:c>
      <x:c r="V377" s="27" t="str">
        <x:v>2023年4月入学 大学院情報理工学研究科（IE）入学者選抜状況</x:v>
      </x:c>
      <x:c r="W377" s="27" t="str">
        <x:v>p.1《博士前期課程》推薦入試・基盤理工学専攻行</x:v>
      </x:c>
      <x:c r="X377" s="27" t="str">
        <x:v>https://www.uec.ac.jp/education/graduate/admission/pdf/ie2023.pdf</x:v>
      </x:c>
      <x:c r="Y377" s="27" t="str">
        <x:v>専攻別の公式値。社会人入試の募集人員は「若干名」のため capacity=null。</x:v>
      </x:c>
      <x:c r="Z377" s="47" t="str">
        <x:v>PDFの「志願者数・受験者数・合格者数・入学者数」を転記。</x:v>
      </x:c>
    </x:row>
    <x:row r="378" ht="38" customHeight="1">
      <x:c r="A378" s="2" t="str">
        <x:v>電気通信大学</x:v>
      </x:c>
      <x:c r="B378" s="2" t="str">
        <x:v>情報理工学研究科</x:v>
      </x:c>
      <x:c r="C378" s="2" t="str">
        <x:v>基盤理工学専攻</x:v>
      </x:c>
      <x:c r="D378" s="44" t="n">
        <x:v>2023</x:v>
      </x:c>
      <x:c r="E378" s="27" t="str">
        <x:v>全年合計</x:v>
      </x:c>
      <x:c r="F378" s="27" t="str">
        <x:v>博士前期課程</x:v>
      </x:c>
      <x:c r="G378" s="27" t="str">
        <x:v>社会人入試</x:v>
      </x:c>
      <x:c r="H378" s="27" t="str">
        <x:v>专攻/系</x:v>
      </x:c>
      <x:c r="I378" s="44"/>
      <x:c r="J378" s="44" t="n">
        <x:v>0</x:v>
      </x:c>
      <x:c r="K378" s="44" t="n">
        <x:v>0</x:v>
      </x:c>
      <x:c r="L378" s="44" t="n">
        <x:v>0</x:v>
      </x:c>
      <x:c r="M378" s="44" t="n">
        <x:v>0</x:v>
      </x:c>
      <x:c r="N378" s="45" t="str">
        <x:f>IF(AND(J378&lt;&gt;"",L378&lt;&gt;0),J378/L378,"")</x:f>
      </x:c>
      <x:c r="O378" s="45" t="str">
        <x:f>IF(AND(K378&lt;&gt;"",L378&lt;&gt;0),K378/L378,"")</x:f>
      </x:c>
      <x:c r="P378" s="46" t="str">
        <x:f>IF(AND(K378&lt;&gt;"",K378&lt;&gt;0,L378&lt;&gt;""),L378/K378,"")</x:f>
      </x:c>
      <x:c r="Q378" s="46" t="str">
        <x:f>IF(AND(L378&lt;&gt;"",L378&lt;&gt;0,M378&lt;&gt;""),M378/L378,"")</x:f>
      </x:c>
      <x:c r="R378" s="45" t="str">
        <x:f>IF(N378&lt;&gt;"",N378,IF(O378&lt;&gt;"",O378,""))</x:f>
      </x:c>
      <x:c r="S378" s="2" t="str">
        <x:f>IF(N378&lt;&gt;"","志愿/合格",IF(O378&lt;&gt;"","受验/合格",""))</x:f>
      </x:c>
      <x:c r="T378" s="2" t="str">
        <x:v>官方</x:v>
      </x:c>
      <x:c r="U378" s="2" t="str">
        <x:v>高</x:v>
      </x:c>
      <x:c r="V378" s="27" t="str">
        <x:v>2023年4月入学 大学院情報理工学研究科（IE）入学者選抜状況</x:v>
      </x:c>
      <x:c r="W378" s="27" t="str">
        <x:v>p.1《博士前期課程》社会人入試・基盤理工学専攻行</x:v>
      </x:c>
      <x:c r="X378" s="27" t="str">
        <x:v>https://www.uec.ac.jp/education/graduate/admission/pdf/ie2023.pdf</x:v>
      </x:c>
      <x:c r="Y378" s="27" t="str">
        <x:v>専攻別の公式値。社会人入試の募集人員は「若干名」のため capacity=null。</x:v>
      </x:c>
      <x:c r="Z378" s="47" t="str">
        <x:v>PDFの「志願者数・受験者数・合格者数・入学者数」を転記。</x:v>
      </x:c>
    </x:row>
    <x:row r="379" ht="38" customHeight="1">
      <x:c r="A379" s="2" t="str">
        <x:v>電気通信大学</x:v>
      </x:c>
      <x:c r="B379" s="2" t="str">
        <x:v>情報理工学研究科</x:v>
      </x:c>
      <x:c r="C379" s="2" t="str">
        <x:v>基盤理工学専攻</x:v>
      </x:c>
      <x:c r="D379" s="44" t="n">
        <x:v>2024</x:v>
      </x:c>
      <x:c r="E379" s="27" t="str">
        <x:v>全年合計</x:v>
      </x:c>
      <x:c r="F379" s="27" t="str">
        <x:v>博士前期課程</x:v>
      </x:c>
      <x:c r="G379" s="27" t="str">
        <x:v>一般入試</x:v>
      </x:c>
      <x:c r="H379" s="27" t="str">
        <x:v>专攻/系</x:v>
      </x:c>
      <x:c r="I379" s="44" t="n">
        <x:v>81</x:v>
      </x:c>
      <x:c r="J379" s="44" t="n">
        <x:v>100</x:v>
      </x:c>
      <x:c r="K379" s="44" t="n">
        <x:v>98</x:v>
      </x:c>
      <x:c r="L379" s="44" t="n">
        <x:v>92</x:v>
      </x:c>
      <x:c r="M379" s="44" t="n">
        <x:v>86</x:v>
      </x:c>
      <x:c r="N379" s="45" t="n">
        <x:f>IF(AND(J379&lt;&gt;"",L379&lt;&gt;0),J379/L379,"")</x:f>
        <x:v>1.0869565217391304</x:v>
      </x:c>
      <x:c r="O379" s="45" t="n">
        <x:f>IF(AND(K379&lt;&gt;"",L379&lt;&gt;0),K379/L379,"")</x:f>
        <x:v>1.065217391304348</x:v>
      </x:c>
      <x:c r="P379" s="46" t="n">
        <x:f>IF(AND(K379&lt;&gt;"",K379&lt;&gt;0,L379&lt;&gt;""),L379/K379,"")</x:f>
        <x:v>0.9387755102040817</x:v>
      </x:c>
      <x:c r="Q379" s="46" t="n">
        <x:f>IF(AND(L379&lt;&gt;"",L379&lt;&gt;0,M379&lt;&gt;""),M379/L379,"")</x:f>
        <x:v>0.9347826086956522</x:v>
      </x:c>
      <x:c r="R379" s="45" t="n">
        <x:f>IF(N379&lt;&gt;"",N379,IF(O379&lt;&gt;"",O379,""))</x:f>
        <x:v>1.0869565217391304</x:v>
      </x:c>
      <x:c r="S379" s="2" t="str">
        <x:f>IF(N379&lt;&gt;"","志愿/合格",IF(O379&lt;&gt;"","受验/合格",""))</x:f>
        <x:v>志愿/合格</x:v>
      </x:c>
      <x:c r="T379" s="2" t="str">
        <x:v>官方</x:v>
      </x:c>
      <x:c r="U379" s="2" t="str">
        <x:v>高</x:v>
      </x:c>
      <x:c r="V379" s="27" t="str">
        <x:v>2024年4月入学 大学院情報理工学研究科（IE）入学者選抜状況</x:v>
      </x:c>
      <x:c r="W379" s="27" t="str">
        <x:v>p.1《博士前期課程》一般入試・基盤理工学専攻行</x:v>
      </x:c>
      <x:c r="X379" s="27" t="str">
        <x:v>https://www.uec.ac.jp/education/graduate/admission/pdf/ie2024.pdf</x:v>
      </x:c>
      <x:c r="Y379" s="27" t="str">
        <x:v>専攻別の公式値。社会人入試の募集人員は「若干名」のため capacity=null。</x:v>
      </x:c>
      <x:c r="Z379" s="47" t="str">
        <x:v>PDFの「志願者数・受験者数・合格者数・入学者数」を転記。</x:v>
      </x:c>
    </x:row>
    <x:row r="380" ht="38" customHeight="1">
      <x:c r="A380" s="2" t="str">
        <x:v>電気通信大学</x:v>
      </x:c>
      <x:c r="B380" s="2" t="str">
        <x:v>情報理工学研究科</x:v>
      </x:c>
      <x:c r="C380" s="2" t="str">
        <x:v>基盤理工学専攻</x:v>
      </x:c>
      <x:c r="D380" s="44" t="n">
        <x:v>2024</x:v>
      </x:c>
      <x:c r="E380" s="27" t="str">
        <x:v>全年合計</x:v>
      </x:c>
      <x:c r="F380" s="27" t="str">
        <x:v>博士前期課程</x:v>
      </x:c>
      <x:c r="G380" s="27" t="str">
        <x:v>推薦入試</x:v>
      </x:c>
      <x:c r="H380" s="27" t="str">
        <x:v>专攻/系</x:v>
      </x:c>
      <x:c r="I380" s="44" t="n">
        <x:v>54</x:v>
      </x:c>
      <x:c r="J380" s="44" t="n">
        <x:v>56</x:v>
      </x:c>
      <x:c r="K380" s="44" t="n">
        <x:v>56</x:v>
      </x:c>
      <x:c r="L380" s="44" t="n">
        <x:v>55</x:v>
      </x:c>
      <x:c r="M380" s="44" t="n">
        <x:v>55</x:v>
      </x:c>
      <x:c r="N380" s="45" t="n">
        <x:f>IF(AND(J380&lt;&gt;"",L380&lt;&gt;0),J380/L380,"")</x:f>
        <x:v>1.018181818181818</x:v>
      </x:c>
      <x:c r="O380" s="45" t="n">
        <x:f>IF(AND(K380&lt;&gt;"",L380&lt;&gt;0),K380/L380,"")</x:f>
        <x:v>1.018181818181818</x:v>
      </x:c>
      <x:c r="P380" s="46" t="n">
        <x:f>IF(AND(K380&lt;&gt;"",K380&lt;&gt;0,L380&lt;&gt;""),L380/K380,"")</x:f>
        <x:v>0.9821428571428571</x:v>
      </x:c>
      <x:c r="Q380" s="46" t="n">
        <x:f>IF(AND(L380&lt;&gt;"",L380&lt;&gt;0,M380&lt;&gt;""),M380/L380,"")</x:f>
        <x:v>1</x:v>
      </x:c>
      <x:c r="R380" s="45" t="n">
        <x:f>IF(N380&lt;&gt;"",N380,IF(O380&lt;&gt;"",O380,""))</x:f>
        <x:v>1.018181818181818</x:v>
      </x:c>
      <x:c r="S380" s="2" t="str">
        <x:f>IF(N380&lt;&gt;"","志愿/合格",IF(O380&lt;&gt;"","受验/合格",""))</x:f>
        <x:v>志愿/合格</x:v>
      </x:c>
      <x:c r="T380" s="2" t="str">
        <x:v>官方</x:v>
      </x:c>
      <x:c r="U380" s="2" t="str">
        <x:v>高</x:v>
      </x:c>
      <x:c r="V380" s="27" t="str">
        <x:v>2024年4月入学 大学院情報理工学研究科（IE）入学者選抜状況</x:v>
      </x:c>
      <x:c r="W380" s="27" t="str">
        <x:v>p.1《博士前期課程》推薦入試・基盤理工学専攻行</x:v>
      </x:c>
      <x:c r="X380" s="27" t="str">
        <x:v>https://www.uec.ac.jp/education/graduate/admission/pdf/ie2024.pdf</x:v>
      </x:c>
      <x:c r="Y380" s="27" t="str">
        <x:v>専攻別の公式値。社会人入試の募集人員は「若干名」のため capacity=null。</x:v>
      </x:c>
      <x:c r="Z380" s="47" t="str">
        <x:v>PDFの「志願者数・受験者数・合格者数・入学者数」を転記。</x:v>
      </x:c>
    </x:row>
    <x:row r="381" ht="38" customHeight="1">
      <x:c r="A381" s="2" t="str">
        <x:v>電気通信大学</x:v>
      </x:c>
      <x:c r="B381" s="2" t="str">
        <x:v>情報理工学研究科</x:v>
      </x:c>
      <x:c r="C381" s="2" t="str">
        <x:v>基盤理工学専攻</x:v>
      </x:c>
      <x:c r="D381" s="44" t="n">
        <x:v>2024</x:v>
      </x:c>
      <x:c r="E381" s="27" t="str">
        <x:v>全年合計</x:v>
      </x:c>
      <x:c r="F381" s="27" t="str">
        <x:v>博士前期課程</x:v>
      </x:c>
      <x:c r="G381" s="27" t="str">
        <x:v>社会人入試</x:v>
      </x:c>
      <x:c r="H381" s="27" t="str">
        <x:v>专攻/系</x:v>
      </x:c>
      <x:c r="I381" s="44"/>
      <x:c r="J381" s="44" t="n">
        <x:v>1</x:v>
      </x:c>
      <x:c r="K381" s="44" t="n">
        <x:v>1</x:v>
      </x:c>
      <x:c r="L381" s="44" t="n">
        <x:v>1</x:v>
      </x:c>
      <x:c r="M381" s="44" t="n">
        <x:v>1</x:v>
      </x:c>
      <x:c r="N381" s="45" t="n">
        <x:f>IF(AND(J381&lt;&gt;"",L381&lt;&gt;0),J381/L381,"")</x:f>
        <x:v>1</x:v>
      </x:c>
      <x:c r="O381" s="45" t="n">
        <x:f>IF(AND(K381&lt;&gt;"",L381&lt;&gt;0),K381/L381,"")</x:f>
        <x:v>1</x:v>
      </x:c>
      <x:c r="P381" s="46" t="n">
        <x:f>IF(AND(K381&lt;&gt;"",K381&lt;&gt;0,L381&lt;&gt;""),L381/K381,"")</x:f>
        <x:v>1</x:v>
      </x:c>
      <x:c r="Q381" s="46" t="n">
        <x:f>IF(AND(L381&lt;&gt;"",L381&lt;&gt;0,M381&lt;&gt;""),M381/L381,"")</x:f>
        <x:v>1</x:v>
      </x:c>
      <x:c r="R381" s="45" t="n">
        <x:f>IF(N381&lt;&gt;"",N381,IF(O381&lt;&gt;"",O381,""))</x:f>
        <x:v>1</x:v>
      </x:c>
      <x:c r="S381" s="2" t="str">
        <x:f>IF(N381&lt;&gt;"","志愿/合格",IF(O381&lt;&gt;"","受验/合格",""))</x:f>
        <x:v>志愿/合格</x:v>
      </x:c>
      <x:c r="T381" s="2" t="str">
        <x:v>官方</x:v>
      </x:c>
      <x:c r="U381" s="2" t="str">
        <x:v>高</x:v>
      </x:c>
      <x:c r="V381" s="27" t="str">
        <x:v>2024年4月入学 大学院情報理工学研究科（IE）入学者選抜状況</x:v>
      </x:c>
      <x:c r="W381" s="27" t="str">
        <x:v>p.1《博士前期課程》社会人入試・基盤理工学専攻行</x:v>
      </x:c>
      <x:c r="X381" s="27" t="str">
        <x:v>https://www.uec.ac.jp/education/graduate/admission/pdf/ie2024.pdf</x:v>
      </x:c>
      <x:c r="Y381" s="27" t="str">
        <x:v>専攻別の公式値。社会人入試の募集人員は「若干名」のため capacity=null。</x:v>
      </x:c>
      <x:c r="Z381" s="47" t="str">
        <x:v>PDFの「志願者数・受験者数・合格者数・入学者数」を転記。</x:v>
      </x:c>
    </x:row>
    <x:row r="382" ht="38" customHeight="1">
      <x:c r="A382" s="2" t="str">
        <x:v>電気通信大学</x:v>
      </x:c>
      <x:c r="B382" s="2" t="str">
        <x:v>情報理工学研究科</x:v>
      </x:c>
      <x:c r="C382" s="2" t="str">
        <x:v>基盤理工学専攻</x:v>
      </x:c>
      <x:c r="D382" s="44" t="n">
        <x:v>2025</x:v>
      </x:c>
      <x:c r="E382" s="27" t="str">
        <x:v>全年合計</x:v>
      </x:c>
      <x:c r="F382" s="27" t="str">
        <x:v>博士前期課程</x:v>
      </x:c>
      <x:c r="G382" s="27" t="str">
        <x:v>一般入試</x:v>
      </x:c>
      <x:c r="H382" s="27" t="str">
        <x:v>专攻/系</x:v>
      </x:c>
      <x:c r="I382" s="44" t="n">
        <x:v>81</x:v>
      </x:c>
      <x:c r="J382" s="44" t="n">
        <x:v>98</x:v>
      </x:c>
      <x:c r="K382" s="44" t="n">
        <x:v>97</x:v>
      </x:c>
      <x:c r="L382" s="44" t="n">
        <x:v>88</x:v>
      </x:c>
      <x:c r="M382" s="44" t="n">
        <x:v>77</x:v>
      </x:c>
      <x:c r="N382" s="45" t="n">
        <x:f>IF(AND(J382&lt;&gt;"",L382&lt;&gt;0),J382/L382,"")</x:f>
        <x:v>1.1136363636363635</x:v>
      </x:c>
      <x:c r="O382" s="45" t="n">
        <x:f>IF(AND(K382&lt;&gt;"",L382&lt;&gt;0),K382/L382,"")</x:f>
        <x:v>1.1022727272727273</x:v>
      </x:c>
      <x:c r="P382" s="46" t="n">
        <x:f>IF(AND(K382&lt;&gt;"",K382&lt;&gt;0,L382&lt;&gt;""),L382/K382,"")</x:f>
        <x:v>0.9072164948453608</x:v>
      </x:c>
      <x:c r="Q382" s="46" t="n">
        <x:f>IF(AND(L382&lt;&gt;"",L382&lt;&gt;0,M382&lt;&gt;""),M382/L382,"")</x:f>
        <x:v>0.875</x:v>
      </x:c>
      <x:c r="R382" s="45" t="n">
        <x:f>IF(N382&lt;&gt;"",N382,IF(O382&lt;&gt;"",O382,""))</x:f>
        <x:v>1.1136363636363635</x:v>
      </x:c>
      <x:c r="S382" s="2" t="str">
        <x:f>IF(N382&lt;&gt;"","志愿/合格",IF(O382&lt;&gt;"","受验/合格",""))</x:f>
        <x:v>志愿/合格</x:v>
      </x:c>
      <x:c r="T382" s="2" t="str">
        <x:v>官方</x:v>
      </x:c>
      <x:c r="U382" s="2" t="str">
        <x:v>高</x:v>
      </x:c>
      <x:c r="V382" s="27" t="str">
        <x:v>2025年4月入学 大学院情報理工学研究科（IE）入学者選抜状況</x:v>
      </x:c>
      <x:c r="W382" s="27" t="str">
        <x:v>p.1《博士前期課程》一般入試・基盤理工学専攻行</x:v>
      </x:c>
      <x:c r="X382" s="27" t="str">
        <x:v>https://www.uec.ac.jp/education/graduate/admission/pdf/ie2025.pdf</x:v>
      </x:c>
      <x:c r="Y382" s="27" t="str">
        <x:v>専攻別の公式値。社会人入試の募集人員は「若干名」のため capacity=null。</x:v>
      </x:c>
      <x:c r="Z382" s="47" t="str">
        <x:v>PDFの「志願者数・受験者数・合格者数・入学者数」を転記。</x:v>
      </x:c>
    </x:row>
    <x:row r="383" ht="38" customHeight="1">
      <x:c r="A383" s="2" t="str">
        <x:v>電気通信大学</x:v>
      </x:c>
      <x:c r="B383" s="2" t="str">
        <x:v>情報理工学研究科</x:v>
      </x:c>
      <x:c r="C383" s="2" t="str">
        <x:v>基盤理工学専攻</x:v>
      </x:c>
      <x:c r="D383" s="44" t="n">
        <x:v>2025</x:v>
      </x:c>
      <x:c r="E383" s="27" t="str">
        <x:v>全年合計</x:v>
      </x:c>
      <x:c r="F383" s="27" t="str">
        <x:v>博士前期課程</x:v>
      </x:c>
      <x:c r="G383" s="27" t="str">
        <x:v>推薦入試</x:v>
      </x:c>
      <x:c r="H383" s="27" t="str">
        <x:v>专攻/系</x:v>
      </x:c>
      <x:c r="I383" s="44" t="n">
        <x:v>54</x:v>
      </x:c>
      <x:c r="J383" s="44" t="n">
        <x:v>51</x:v>
      </x:c>
      <x:c r="K383" s="44" t="n">
        <x:v>51</x:v>
      </x:c>
      <x:c r="L383" s="44" t="n">
        <x:v>51</x:v>
      </x:c>
      <x:c r="M383" s="44" t="n">
        <x:v>50</x:v>
      </x:c>
      <x:c r="N383" s="45" t="n">
        <x:f>IF(AND(J383&lt;&gt;"",L383&lt;&gt;0),J383/L383,"")</x:f>
        <x:v>1</x:v>
      </x:c>
      <x:c r="O383" s="45" t="n">
        <x:f>IF(AND(K383&lt;&gt;"",L383&lt;&gt;0),K383/L383,"")</x:f>
        <x:v>1</x:v>
      </x:c>
      <x:c r="P383" s="46" t="n">
        <x:f>IF(AND(K383&lt;&gt;"",K383&lt;&gt;0,L383&lt;&gt;""),L383/K383,"")</x:f>
        <x:v>1</x:v>
      </x:c>
      <x:c r="Q383" s="46" t="n">
        <x:f>IF(AND(L383&lt;&gt;"",L383&lt;&gt;0,M383&lt;&gt;""),M383/L383,"")</x:f>
        <x:v>0.9803921568627451</x:v>
      </x:c>
      <x:c r="R383" s="45" t="n">
        <x:f>IF(N383&lt;&gt;"",N383,IF(O383&lt;&gt;"",O383,""))</x:f>
        <x:v>1</x:v>
      </x:c>
      <x:c r="S383" s="2" t="str">
        <x:f>IF(N383&lt;&gt;"","志愿/合格",IF(O383&lt;&gt;"","受验/合格",""))</x:f>
        <x:v>志愿/合格</x:v>
      </x:c>
      <x:c r="T383" s="2" t="str">
        <x:v>官方</x:v>
      </x:c>
      <x:c r="U383" s="2" t="str">
        <x:v>高</x:v>
      </x:c>
      <x:c r="V383" s="27" t="str">
        <x:v>2025年4月入学 大学院情報理工学研究科（IE）入学者選抜状況</x:v>
      </x:c>
      <x:c r="W383" s="27" t="str">
        <x:v>p.1《博士前期課程》推薦入試・基盤理工学専攻行</x:v>
      </x:c>
      <x:c r="X383" s="27" t="str">
        <x:v>https://www.uec.ac.jp/education/graduate/admission/pdf/ie2025.pdf</x:v>
      </x:c>
      <x:c r="Y383" s="27" t="str">
        <x:v>専攻別の公式値。社会人入試の募集人員は「若干名」のため capacity=null。</x:v>
      </x:c>
      <x:c r="Z383" s="47" t="str">
        <x:v>PDFの「志願者数・受験者数・合格者数・入学者数」を転記。</x:v>
      </x:c>
    </x:row>
    <x:row r="384" ht="38" customHeight="1">
      <x:c r="A384" s="2" t="str">
        <x:v>電気通信大学</x:v>
      </x:c>
      <x:c r="B384" s="2" t="str">
        <x:v>情報理工学研究科</x:v>
      </x:c>
      <x:c r="C384" s="2" t="str">
        <x:v>基盤理工学専攻</x:v>
      </x:c>
      <x:c r="D384" s="44" t="n">
        <x:v>2025</x:v>
      </x:c>
      <x:c r="E384" s="27" t="str">
        <x:v>全年合計</x:v>
      </x:c>
      <x:c r="F384" s="27" t="str">
        <x:v>博士前期課程</x:v>
      </x:c>
      <x:c r="G384" s="27" t="str">
        <x:v>社会人入試</x:v>
      </x:c>
      <x:c r="H384" s="27" t="str">
        <x:v>专攻/系</x:v>
      </x:c>
      <x:c r="I384" s="44"/>
      <x:c r="J384" s="44" t="n">
        <x:v>0</x:v>
      </x:c>
      <x:c r="K384" s="44" t="n">
        <x:v>0</x:v>
      </x:c>
      <x:c r="L384" s="44" t="n">
        <x:v>0</x:v>
      </x:c>
      <x:c r="M384" s="44" t="n">
        <x:v>0</x:v>
      </x:c>
      <x:c r="N384" s="45" t="str">
        <x:f>IF(AND(J384&lt;&gt;"",L384&lt;&gt;0),J384/L384,"")</x:f>
      </x:c>
      <x:c r="O384" s="45" t="str">
        <x:f>IF(AND(K384&lt;&gt;"",L384&lt;&gt;0),K384/L384,"")</x:f>
      </x:c>
      <x:c r="P384" s="46" t="str">
        <x:f>IF(AND(K384&lt;&gt;"",K384&lt;&gt;0,L384&lt;&gt;""),L384/K384,"")</x:f>
      </x:c>
      <x:c r="Q384" s="46" t="str">
        <x:f>IF(AND(L384&lt;&gt;"",L384&lt;&gt;0,M384&lt;&gt;""),M384/L384,"")</x:f>
      </x:c>
      <x:c r="R384" s="45" t="str">
        <x:f>IF(N384&lt;&gt;"",N384,IF(O384&lt;&gt;"",O384,""))</x:f>
      </x:c>
      <x:c r="S384" s="2" t="str">
        <x:f>IF(N384&lt;&gt;"","志愿/合格",IF(O384&lt;&gt;"","受验/合格",""))</x:f>
      </x:c>
      <x:c r="T384" s="2" t="str">
        <x:v>官方</x:v>
      </x:c>
      <x:c r="U384" s="2" t="str">
        <x:v>高</x:v>
      </x:c>
      <x:c r="V384" s="27" t="str">
        <x:v>2025年4月入学 大学院情報理工学研究科（IE）入学者選抜状況</x:v>
      </x:c>
      <x:c r="W384" s="27" t="str">
        <x:v>p.1《博士前期課程》社会人入試・基盤理工学専攻行</x:v>
      </x:c>
      <x:c r="X384" s="27" t="str">
        <x:v>https://www.uec.ac.jp/education/graduate/admission/pdf/ie2025.pdf</x:v>
      </x:c>
      <x:c r="Y384" s="27" t="str">
        <x:v>専攻別の公式値。社会人入試の募集人員は「若干名」のため capacity=null。</x:v>
      </x:c>
      <x:c r="Z384" s="47" t="str">
        <x:v>PDFの「志願者数・受験者数・合格者数・入学者数」を転記。</x:v>
      </x:c>
    </x:row>
    <x:row r="385" ht="38" customHeight="1">
      <x:c r="A385" s="2" t="str">
        <x:v>電気通信大学</x:v>
      </x:c>
      <x:c r="B385" s="2" t="str">
        <x:v>情報理工学研究科</x:v>
      </x:c>
      <x:c r="C385" s="2" t="str">
        <x:v>基盤理工学専攻</x:v>
      </x:c>
      <x:c r="D385" s="44" t="n">
        <x:v>2026</x:v>
      </x:c>
      <x:c r="E385" s="27" t="str">
        <x:v>全年合計</x:v>
      </x:c>
      <x:c r="F385" s="27" t="str">
        <x:v>博士前期課程</x:v>
      </x:c>
      <x:c r="G385" s="27" t="str">
        <x:v>一般入試</x:v>
      </x:c>
      <x:c r="H385" s="27" t="str">
        <x:v>专攻/系</x:v>
      </x:c>
      <x:c r="I385" s="44" t="n">
        <x:v>81</x:v>
      </x:c>
      <x:c r="J385" s="44" t="n">
        <x:v>97</x:v>
      </x:c>
      <x:c r="K385" s="44" t="n">
        <x:v>95</x:v>
      </x:c>
      <x:c r="L385" s="44" t="n">
        <x:v>90</x:v>
      </x:c>
      <x:c r="M385" s="44" t="n">
        <x:v>76</x:v>
      </x:c>
      <x:c r="N385" s="45" t="n">
        <x:f>IF(AND(J385&lt;&gt;"",L385&lt;&gt;0),J385/L385,"")</x:f>
        <x:v>1.0777777777777777</x:v>
      </x:c>
      <x:c r="O385" s="45" t="n">
        <x:f>IF(AND(K385&lt;&gt;"",L385&lt;&gt;0),K385/L385,"")</x:f>
        <x:v>1.0555555555555556</x:v>
      </x:c>
      <x:c r="P385" s="46" t="n">
        <x:f>IF(AND(K385&lt;&gt;"",K385&lt;&gt;0,L385&lt;&gt;""),L385/K385,"")</x:f>
        <x:v>0.9473684210526315</x:v>
      </x:c>
      <x:c r="Q385" s="46" t="n">
        <x:f>IF(AND(L385&lt;&gt;"",L385&lt;&gt;0,M385&lt;&gt;""),M385/L385,"")</x:f>
        <x:v>0.8444444444444444</x:v>
      </x:c>
      <x:c r="R385" s="45" t="n">
        <x:f>IF(N385&lt;&gt;"",N385,IF(O385&lt;&gt;"",O385,""))</x:f>
        <x:v>1.0777777777777777</x:v>
      </x:c>
      <x:c r="S385" s="2" t="str">
        <x:f>IF(N385&lt;&gt;"","志愿/合格",IF(O385&lt;&gt;"","受验/合格",""))</x:f>
        <x:v>志愿/合格</x:v>
      </x:c>
      <x:c r="T385" s="2" t="str">
        <x:v>官方</x:v>
      </x:c>
      <x:c r="U385" s="2" t="str">
        <x:v>高</x:v>
      </x:c>
      <x:c r="V385" s="27" t="str">
        <x:v>2026年4月入学 大学院情報理工学研究科（IE）入学者選抜状況</x:v>
      </x:c>
      <x:c r="W385" s="27" t="str">
        <x:v>p.1《博士前期課程》一般入試・基盤理工学専攻行</x:v>
      </x:c>
      <x:c r="X385" s="27" t="str">
        <x:v>https://www.uec.ac.jp/education/graduate/admission/pdf/ie2026.pdf</x:v>
      </x:c>
      <x:c r="Y385" s="27" t="str">
        <x:v>専攻別の公式値。社会人入試の募集人員は「若干名」のため capacity=null。</x:v>
      </x:c>
      <x:c r="Z385" s="47" t="str">
        <x:v>PDFの「志願者数・受験者数・合格者数・入学者数」を転記。</x:v>
      </x:c>
    </x:row>
    <x:row r="386" ht="38" customHeight="1">
      <x:c r="A386" s="2" t="str">
        <x:v>電気通信大学</x:v>
      </x:c>
      <x:c r="B386" s="2" t="str">
        <x:v>情報理工学研究科</x:v>
      </x:c>
      <x:c r="C386" s="2" t="str">
        <x:v>基盤理工学専攻</x:v>
      </x:c>
      <x:c r="D386" s="44" t="n">
        <x:v>2026</x:v>
      </x:c>
      <x:c r="E386" s="27" t="str">
        <x:v>全年合計</x:v>
      </x:c>
      <x:c r="F386" s="27" t="str">
        <x:v>博士前期課程</x:v>
      </x:c>
      <x:c r="G386" s="27" t="str">
        <x:v>推薦入試</x:v>
      </x:c>
      <x:c r="H386" s="27" t="str">
        <x:v>专攻/系</x:v>
      </x:c>
      <x:c r="I386" s="44" t="n">
        <x:v>54</x:v>
      </x:c>
      <x:c r="J386" s="44" t="n">
        <x:v>52</x:v>
      </x:c>
      <x:c r="K386" s="44" t="n">
        <x:v>52</x:v>
      </x:c>
      <x:c r="L386" s="44" t="n">
        <x:v>52</x:v>
      </x:c>
      <x:c r="M386" s="44" t="n">
        <x:v>52</x:v>
      </x:c>
      <x:c r="N386" s="45" t="n">
        <x:f>IF(AND(J386&lt;&gt;"",L386&lt;&gt;0),J386/L386,"")</x:f>
        <x:v>1</x:v>
      </x:c>
      <x:c r="O386" s="45" t="n">
        <x:f>IF(AND(K386&lt;&gt;"",L386&lt;&gt;0),K386/L386,"")</x:f>
        <x:v>1</x:v>
      </x:c>
      <x:c r="P386" s="46" t="n">
        <x:f>IF(AND(K386&lt;&gt;"",K386&lt;&gt;0,L386&lt;&gt;""),L386/K386,"")</x:f>
        <x:v>1</x:v>
      </x:c>
      <x:c r="Q386" s="46" t="n">
        <x:f>IF(AND(L386&lt;&gt;"",L386&lt;&gt;0,M386&lt;&gt;""),M386/L386,"")</x:f>
        <x:v>1</x:v>
      </x:c>
      <x:c r="R386" s="45" t="n">
        <x:f>IF(N386&lt;&gt;"",N386,IF(O386&lt;&gt;"",O386,""))</x:f>
        <x:v>1</x:v>
      </x:c>
      <x:c r="S386" s="2" t="str">
        <x:f>IF(N386&lt;&gt;"","志愿/合格",IF(O386&lt;&gt;"","受验/合格",""))</x:f>
        <x:v>志愿/合格</x:v>
      </x:c>
      <x:c r="T386" s="2" t="str">
        <x:v>官方</x:v>
      </x:c>
      <x:c r="U386" s="2" t="str">
        <x:v>高</x:v>
      </x:c>
      <x:c r="V386" s="27" t="str">
        <x:v>2026年4月入学 大学院情報理工学研究科（IE）入学者選抜状況</x:v>
      </x:c>
      <x:c r="W386" s="27" t="str">
        <x:v>p.1《博士前期課程》推薦入試・基盤理工学専攻行</x:v>
      </x:c>
      <x:c r="X386" s="27" t="str">
        <x:v>https://www.uec.ac.jp/education/graduate/admission/pdf/ie2026.pdf</x:v>
      </x:c>
      <x:c r="Y386" s="27" t="str">
        <x:v>専攻別の公式値。社会人入試の募集人員は「若干名」のため capacity=null。</x:v>
      </x:c>
      <x:c r="Z386" s="47" t="str">
        <x:v>PDFの「志願者数・受験者数・合格者数・入学者数」を転記。</x:v>
      </x:c>
    </x:row>
    <x:row r="387" ht="38" customHeight="1">
      <x:c r="A387" s="2" t="str">
        <x:v>電気通信大学</x:v>
      </x:c>
      <x:c r="B387" s="2" t="str">
        <x:v>情報理工学研究科</x:v>
      </x:c>
      <x:c r="C387" s="2" t="str">
        <x:v>基盤理工学専攻</x:v>
      </x:c>
      <x:c r="D387" s="44" t="n">
        <x:v>2026</x:v>
      </x:c>
      <x:c r="E387" s="27" t="str">
        <x:v>全年合計</x:v>
      </x:c>
      <x:c r="F387" s="27" t="str">
        <x:v>博士前期課程</x:v>
      </x:c>
      <x:c r="G387" s="27" t="str">
        <x:v>社会人入試</x:v>
      </x:c>
      <x:c r="H387" s="27" t="str">
        <x:v>专攻/系</x:v>
      </x:c>
      <x:c r="I387" s="44"/>
      <x:c r="J387" s="44" t="n">
        <x:v>1</x:v>
      </x:c>
      <x:c r="K387" s="44" t="n">
        <x:v>1</x:v>
      </x:c>
      <x:c r="L387" s="44" t="n">
        <x:v>1</x:v>
      </x:c>
      <x:c r="M387" s="44" t="n">
        <x:v>1</x:v>
      </x:c>
      <x:c r="N387" s="45" t="n">
        <x:f>IF(AND(J387&lt;&gt;"",L387&lt;&gt;0),J387/L387,"")</x:f>
        <x:v>1</x:v>
      </x:c>
      <x:c r="O387" s="45" t="n">
        <x:f>IF(AND(K387&lt;&gt;"",L387&lt;&gt;0),K387/L387,"")</x:f>
        <x:v>1</x:v>
      </x:c>
      <x:c r="P387" s="46" t="n">
        <x:f>IF(AND(K387&lt;&gt;"",K387&lt;&gt;0,L387&lt;&gt;""),L387/K387,"")</x:f>
        <x:v>1</x:v>
      </x:c>
      <x:c r="Q387" s="46" t="n">
        <x:f>IF(AND(L387&lt;&gt;"",L387&lt;&gt;0,M387&lt;&gt;""),M387/L387,"")</x:f>
        <x:v>1</x:v>
      </x:c>
      <x:c r="R387" s="45" t="n">
        <x:f>IF(N387&lt;&gt;"",N387,IF(O387&lt;&gt;"",O387,""))</x:f>
        <x:v>1</x:v>
      </x:c>
      <x:c r="S387" s="2" t="str">
        <x:f>IF(N387&lt;&gt;"","志愿/合格",IF(O387&lt;&gt;"","受验/合格",""))</x:f>
        <x:v>志愿/合格</x:v>
      </x:c>
      <x:c r="T387" s="2" t="str">
        <x:v>官方</x:v>
      </x:c>
      <x:c r="U387" s="2" t="str">
        <x:v>高</x:v>
      </x:c>
      <x:c r="V387" s="27" t="str">
        <x:v>2026年4月入学 大学院情報理工学研究科（IE）入学者選抜状況</x:v>
      </x:c>
      <x:c r="W387" s="27" t="str">
        <x:v>p.1《博士前期課程》社会人入試・基盤理工学専攻行</x:v>
      </x:c>
      <x:c r="X387" s="27" t="str">
        <x:v>https://www.uec.ac.jp/education/graduate/admission/pdf/ie2026.pdf</x:v>
      </x:c>
      <x:c r="Y387" s="27" t="str">
        <x:v>専攻別の公式値。社会人入試の募集人員は「若干名」のため capacity=null。</x:v>
      </x:c>
      <x:c r="Z387" s="47" t="str">
        <x:v>PDFの「志願者数・受験者数・合格者数・入学者数」を転記。</x:v>
      </x:c>
    </x:row>
    <x:row r="388" ht="38" customHeight="1">
      <x:c r="A388" s="2" t="str">
        <x:v>電気通信大学</x:v>
      </x:c>
      <x:c r="B388" s="2" t="str">
        <x:v>情報理工学研究科</x:v>
      </x:c>
      <x:c r="C388" s="2" t="str">
        <x:v>機械知能システム学専攻</x:v>
      </x:c>
      <x:c r="D388" s="44" t="n">
        <x:v>2022</x:v>
      </x:c>
      <x:c r="E388" s="27" t="str">
        <x:v>全年合計</x:v>
      </x:c>
      <x:c r="F388" s="27" t="str">
        <x:v>博士前期課程</x:v>
      </x:c>
      <x:c r="G388" s="27" t="str">
        <x:v>一般入試</x:v>
      </x:c>
      <x:c r="H388" s="27" t="str">
        <x:v>专攻/系</x:v>
      </x:c>
      <x:c r="I388" s="44" t="n">
        <x:v>63</x:v>
      </x:c>
      <x:c r="J388" s="44" t="n">
        <x:v>86</x:v>
      </x:c>
      <x:c r="K388" s="44" t="n">
        <x:v>85</x:v>
      </x:c>
      <x:c r="L388" s="44" t="n">
        <x:v>68</x:v>
      </x:c>
      <x:c r="M388" s="44" t="n">
        <x:v>64</x:v>
      </x:c>
      <x:c r="N388" s="45" t="n">
        <x:f>IF(AND(J388&lt;&gt;"",L388&lt;&gt;0),J388/L388,"")</x:f>
        <x:v>1.2647058823529411</x:v>
      </x:c>
      <x:c r="O388" s="45" t="n">
        <x:f>IF(AND(K388&lt;&gt;"",L388&lt;&gt;0),K388/L388,"")</x:f>
        <x:v>1.25</x:v>
      </x:c>
      <x:c r="P388" s="46" t="n">
        <x:f>IF(AND(K388&lt;&gt;"",K388&lt;&gt;0,L388&lt;&gt;""),L388/K388,"")</x:f>
        <x:v>0.8</x:v>
      </x:c>
      <x:c r="Q388" s="46" t="n">
        <x:f>IF(AND(L388&lt;&gt;"",L388&lt;&gt;0,M388&lt;&gt;""),M388/L388,"")</x:f>
        <x:v>0.9411764705882353</x:v>
      </x:c>
      <x:c r="R388" s="45" t="n">
        <x:f>IF(N388&lt;&gt;"",N388,IF(O388&lt;&gt;"",O388,""))</x:f>
        <x:v>1.2647058823529411</x:v>
      </x:c>
      <x:c r="S388" s="2" t="str">
        <x:f>IF(N388&lt;&gt;"","志愿/合格",IF(O388&lt;&gt;"","受验/合格",""))</x:f>
        <x:v>志愿/合格</x:v>
      </x:c>
      <x:c r="T388" s="2" t="str">
        <x:v>官方</x:v>
      </x:c>
      <x:c r="U388" s="2" t="str">
        <x:v>高</x:v>
      </x:c>
      <x:c r="V388" s="27" t="str">
        <x:v>2022年4月入学 大学院情報理工学研究科（IE）入学者選抜状況</x:v>
      </x:c>
      <x:c r="W388" s="27" t="str">
        <x:v>p.1《博士前期課程》一般入試・機械知能システム学専攻行</x:v>
      </x:c>
      <x:c r="X388" s="27" t="str">
        <x:v>https://www.uec.ac.jp/education/graduate/admission/pdf/ie2022.pdf</x:v>
      </x:c>
      <x:c r="Y388" s="27" t="str">
        <x:v>専攻別の公式値。社会人入試の募集人員は「若干名」のため capacity=null。</x:v>
      </x:c>
      <x:c r="Z388" s="47" t="str">
        <x:v>PDFの「志願者数・受験者数・合格者数・入学者数」を転記。</x:v>
      </x:c>
    </x:row>
    <x:row r="389" ht="38" customHeight="1">
      <x:c r="A389" s="2" t="str">
        <x:v>電気通信大学</x:v>
      </x:c>
      <x:c r="B389" s="2" t="str">
        <x:v>情報理工学研究科</x:v>
      </x:c>
      <x:c r="C389" s="2" t="str">
        <x:v>機械知能システム学専攻</x:v>
      </x:c>
      <x:c r="D389" s="44" t="n">
        <x:v>2022</x:v>
      </x:c>
      <x:c r="E389" s="27" t="str">
        <x:v>全年合計</x:v>
      </x:c>
      <x:c r="F389" s="27" t="str">
        <x:v>博士前期課程</x:v>
      </x:c>
      <x:c r="G389" s="27" t="str">
        <x:v>推薦入試</x:v>
      </x:c>
      <x:c r="H389" s="27" t="str">
        <x:v>专攻/系</x:v>
      </x:c>
      <x:c r="I389" s="44" t="n">
        <x:v>42</x:v>
      </x:c>
      <x:c r="J389" s="44" t="n">
        <x:v>61</x:v>
      </x:c>
      <x:c r="K389" s="44" t="n">
        <x:v>61</x:v>
      </x:c>
      <x:c r="L389" s="44" t="n">
        <x:v>59</x:v>
      </x:c>
      <x:c r="M389" s="44" t="n">
        <x:v>59</x:v>
      </x:c>
      <x:c r="N389" s="45" t="n">
        <x:f>IF(AND(J389&lt;&gt;"",L389&lt;&gt;0),J389/L389,"")</x:f>
        <x:v>1.0338983050847457</x:v>
      </x:c>
      <x:c r="O389" s="45" t="n">
        <x:f>IF(AND(K389&lt;&gt;"",L389&lt;&gt;0),K389/L389,"")</x:f>
        <x:v>1.0338983050847457</x:v>
      </x:c>
      <x:c r="P389" s="46" t="n">
        <x:f>IF(AND(K389&lt;&gt;"",K389&lt;&gt;0,L389&lt;&gt;""),L389/K389,"")</x:f>
        <x:v>0.9672131147540983</x:v>
      </x:c>
      <x:c r="Q389" s="46" t="n">
        <x:f>IF(AND(L389&lt;&gt;"",L389&lt;&gt;0,M389&lt;&gt;""),M389/L389,"")</x:f>
        <x:v>1</x:v>
      </x:c>
      <x:c r="R389" s="45" t="n">
        <x:f>IF(N389&lt;&gt;"",N389,IF(O389&lt;&gt;"",O389,""))</x:f>
        <x:v>1.0338983050847457</x:v>
      </x:c>
      <x:c r="S389" s="2" t="str">
        <x:f>IF(N389&lt;&gt;"","志愿/合格",IF(O389&lt;&gt;"","受验/合格",""))</x:f>
        <x:v>志愿/合格</x:v>
      </x:c>
      <x:c r="T389" s="2" t="str">
        <x:v>官方</x:v>
      </x:c>
      <x:c r="U389" s="2" t="str">
        <x:v>高</x:v>
      </x:c>
      <x:c r="V389" s="27" t="str">
        <x:v>2022年4月入学 大学院情報理工学研究科（IE）入学者選抜状況</x:v>
      </x:c>
      <x:c r="W389" s="27" t="str">
        <x:v>p.1《博士前期課程》推薦入試・機械知能システム学専攻行</x:v>
      </x:c>
      <x:c r="X389" s="27" t="str">
        <x:v>https://www.uec.ac.jp/education/graduate/admission/pdf/ie2022.pdf</x:v>
      </x:c>
      <x:c r="Y389" s="27" t="str">
        <x:v>専攻別の公式値。社会人入試の募集人員は「若干名」のため capacity=null。</x:v>
      </x:c>
      <x:c r="Z389" s="47" t="str">
        <x:v>PDFの「志願者数・受験者数・合格者数・入学者数」を転記。</x:v>
      </x:c>
    </x:row>
    <x:row r="390" ht="38" customHeight="1">
      <x:c r="A390" s="2" t="str">
        <x:v>電気通信大学</x:v>
      </x:c>
      <x:c r="B390" s="2" t="str">
        <x:v>情報理工学研究科</x:v>
      </x:c>
      <x:c r="C390" s="2" t="str">
        <x:v>機械知能システム学専攻</x:v>
      </x:c>
      <x:c r="D390" s="44" t="n">
        <x:v>2022</x:v>
      </x:c>
      <x:c r="E390" s="27" t="str">
        <x:v>全年合計</x:v>
      </x:c>
      <x:c r="F390" s="27" t="str">
        <x:v>博士前期課程</x:v>
      </x:c>
      <x:c r="G390" s="27" t="str">
        <x:v>社会人入試</x:v>
      </x:c>
      <x:c r="H390" s="27" t="str">
        <x:v>专攻/系</x:v>
      </x:c>
      <x:c r="I390" s="44"/>
      <x:c r="J390" s="44" t="n">
        <x:v>0</x:v>
      </x:c>
      <x:c r="K390" s="44" t="n">
        <x:v>0</x:v>
      </x:c>
      <x:c r="L390" s="44" t="n">
        <x:v>0</x:v>
      </x:c>
      <x:c r="M390" s="44" t="n">
        <x:v>0</x:v>
      </x:c>
      <x:c r="N390" s="45" t="str">
        <x:f>IF(AND(J390&lt;&gt;"",L390&lt;&gt;0),J390/L390,"")</x:f>
      </x:c>
      <x:c r="O390" s="45" t="str">
        <x:f>IF(AND(K390&lt;&gt;"",L390&lt;&gt;0),K390/L390,"")</x:f>
      </x:c>
      <x:c r="P390" s="46" t="str">
        <x:f>IF(AND(K390&lt;&gt;"",K390&lt;&gt;0,L390&lt;&gt;""),L390/K390,"")</x:f>
      </x:c>
      <x:c r="Q390" s="46" t="str">
        <x:f>IF(AND(L390&lt;&gt;"",L390&lt;&gt;0,M390&lt;&gt;""),M390/L390,"")</x:f>
      </x:c>
      <x:c r="R390" s="45" t="str">
        <x:f>IF(N390&lt;&gt;"",N390,IF(O390&lt;&gt;"",O390,""))</x:f>
      </x:c>
      <x:c r="S390" s="2" t="str">
        <x:f>IF(N390&lt;&gt;"","志愿/合格",IF(O390&lt;&gt;"","受验/合格",""))</x:f>
      </x:c>
      <x:c r="T390" s="2" t="str">
        <x:v>官方</x:v>
      </x:c>
      <x:c r="U390" s="2" t="str">
        <x:v>高</x:v>
      </x:c>
      <x:c r="V390" s="27" t="str">
        <x:v>2022年4月入学 大学院情報理工学研究科（IE）入学者選抜状況</x:v>
      </x:c>
      <x:c r="W390" s="27" t="str">
        <x:v>p.1《博士前期課程》社会人入試・機械知能システム学専攻行</x:v>
      </x:c>
      <x:c r="X390" s="27" t="str">
        <x:v>https://www.uec.ac.jp/education/graduate/admission/pdf/ie2022.pdf</x:v>
      </x:c>
      <x:c r="Y390" s="27" t="str">
        <x:v>専攻別の公式値。社会人入試の募集人員は「若干名」のため capacity=null。</x:v>
      </x:c>
      <x:c r="Z390" s="47" t="str">
        <x:v>PDFの「志願者数・受験者数・合格者数・入学者数」を転記。</x:v>
      </x:c>
    </x:row>
    <x:row r="391" ht="38" customHeight="1">
      <x:c r="A391" s="2" t="str">
        <x:v>電気通信大学</x:v>
      </x:c>
      <x:c r="B391" s="2" t="str">
        <x:v>情報理工学研究科</x:v>
      </x:c>
      <x:c r="C391" s="2" t="str">
        <x:v>機械知能システム学専攻</x:v>
      </x:c>
      <x:c r="D391" s="44" t="n">
        <x:v>2023</x:v>
      </x:c>
      <x:c r="E391" s="27" t="str">
        <x:v>全年合計</x:v>
      </x:c>
      <x:c r="F391" s="27" t="str">
        <x:v>博士前期課程</x:v>
      </x:c>
      <x:c r="G391" s="27" t="str">
        <x:v>一般入試</x:v>
      </x:c>
      <x:c r="H391" s="27" t="str">
        <x:v>专攻/系</x:v>
      </x:c>
      <x:c r="I391" s="44" t="n">
        <x:v>63</x:v>
      </x:c>
      <x:c r="J391" s="44" t="n">
        <x:v>102</x:v>
      </x:c>
      <x:c r="K391" s="44" t="n">
        <x:v>96</x:v>
      </x:c>
      <x:c r="L391" s="44" t="n">
        <x:v>69</x:v>
      </x:c>
      <x:c r="M391" s="44" t="n">
        <x:v>64</x:v>
      </x:c>
      <x:c r="N391" s="45" t="n">
        <x:f>IF(AND(J391&lt;&gt;"",L391&lt;&gt;0),J391/L391,"")</x:f>
        <x:v>1.4782608695652173</x:v>
      </x:c>
      <x:c r="O391" s="45" t="n">
        <x:f>IF(AND(K391&lt;&gt;"",L391&lt;&gt;0),K391/L391,"")</x:f>
        <x:v>1.391304347826087</x:v>
      </x:c>
      <x:c r="P391" s="46" t="n">
        <x:f>IF(AND(K391&lt;&gt;"",K391&lt;&gt;0,L391&lt;&gt;""),L391/K391,"")</x:f>
        <x:v>0.71875</x:v>
      </x:c>
      <x:c r="Q391" s="46" t="n">
        <x:f>IF(AND(L391&lt;&gt;"",L391&lt;&gt;0,M391&lt;&gt;""),M391/L391,"")</x:f>
        <x:v>0.927536231884058</x:v>
      </x:c>
      <x:c r="R391" s="45" t="n">
        <x:f>IF(N391&lt;&gt;"",N391,IF(O391&lt;&gt;"",O391,""))</x:f>
        <x:v>1.4782608695652173</x:v>
      </x:c>
      <x:c r="S391" s="2" t="str">
        <x:f>IF(N391&lt;&gt;"","志愿/合格",IF(O391&lt;&gt;"","受验/合格",""))</x:f>
        <x:v>志愿/合格</x:v>
      </x:c>
      <x:c r="T391" s="2" t="str">
        <x:v>官方</x:v>
      </x:c>
      <x:c r="U391" s="2" t="str">
        <x:v>高</x:v>
      </x:c>
      <x:c r="V391" s="27" t="str">
        <x:v>2023年4月入学 大学院情報理工学研究科（IE）入学者選抜状況</x:v>
      </x:c>
      <x:c r="W391" s="27" t="str">
        <x:v>p.1《博士前期課程》一般入試・機械知能システム学専攻行</x:v>
      </x:c>
      <x:c r="X391" s="27" t="str">
        <x:v>https://www.uec.ac.jp/education/graduate/admission/pdf/ie2023.pdf</x:v>
      </x:c>
      <x:c r="Y391" s="27" t="str">
        <x:v>専攻別の公式値。社会人入試の募集人員は「若干名」のため capacity=null。</x:v>
      </x:c>
      <x:c r="Z391" s="47" t="str">
        <x:v>PDFの「志願者数・受験者数・合格者数・入学者数」を転記。</x:v>
      </x:c>
    </x:row>
    <x:row r="392" ht="38" customHeight="1">
      <x:c r="A392" s="2" t="str">
        <x:v>電気通信大学</x:v>
      </x:c>
      <x:c r="B392" s="2" t="str">
        <x:v>情報理工学研究科</x:v>
      </x:c>
      <x:c r="C392" s="2" t="str">
        <x:v>機械知能システム学専攻</x:v>
      </x:c>
      <x:c r="D392" s="44" t="n">
        <x:v>2023</x:v>
      </x:c>
      <x:c r="E392" s="27" t="str">
        <x:v>全年合計</x:v>
      </x:c>
      <x:c r="F392" s="27" t="str">
        <x:v>博士前期課程</x:v>
      </x:c>
      <x:c r="G392" s="27" t="str">
        <x:v>推薦入試</x:v>
      </x:c>
      <x:c r="H392" s="27" t="str">
        <x:v>专攻/系</x:v>
      </x:c>
      <x:c r="I392" s="44" t="n">
        <x:v>42</x:v>
      </x:c>
      <x:c r="J392" s="44" t="n">
        <x:v>54</x:v>
      </x:c>
      <x:c r="K392" s="44" t="n">
        <x:v>54</x:v>
      </x:c>
      <x:c r="L392" s="44" t="n">
        <x:v>54</x:v>
      </x:c>
      <x:c r="M392" s="44" t="n">
        <x:v>52</x:v>
      </x:c>
      <x:c r="N392" s="45" t="n">
        <x:f>IF(AND(J392&lt;&gt;"",L392&lt;&gt;0),J392/L392,"")</x:f>
        <x:v>1</x:v>
      </x:c>
      <x:c r="O392" s="45" t="n">
        <x:f>IF(AND(K392&lt;&gt;"",L392&lt;&gt;0),K392/L392,"")</x:f>
        <x:v>1</x:v>
      </x:c>
      <x:c r="P392" s="46" t="n">
        <x:f>IF(AND(K392&lt;&gt;"",K392&lt;&gt;0,L392&lt;&gt;""),L392/K392,"")</x:f>
        <x:v>1</x:v>
      </x:c>
      <x:c r="Q392" s="46" t="n">
        <x:f>IF(AND(L392&lt;&gt;"",L392&lt;&gt;0,M392&lt;&gt;""),M392/L392,"")</x:f>
        <x:v>0.9629629629629629</x:v>
      </x:c>
      <x:c r="R392" s="45" t="n">
        <x:f>IF(N392&lt;&gt;"",N392,IF(O392&lt;&gt;"",O392,""))</x:f>
        <x:v>1</x:v>
      </x:c>
      <x:c r="S392" s="2" t="str">
        <x:f>IF(N392&lt;&gt;"","志愿/合格",IF(O392&lt;&gt;"","受验/合格",""))</x:f>
        <x:v>志愿/合格</x:v>
      </x:c>
      <x:c r="T392" s="2" t="str">
        <x:v>官方</x:v>
      </x:c>
      <x:c r="U392" s="2" t="str">
        <x:v>高</x:v>
      </x:c>
      <x:c r="V392" s="27" t="str">
        <x:v>2023年4月入学 大学院情報理工学研究科（IE）入学者選抜状況</x:v>
      </x:c>
      <x:c r="W392" s="27" t="str">
        <x:v>p.1《博士前期課程》推薦入試・機械知能システム学専攻行</x:v>
      </x:c>
      <x:c r="X392" s="27" t="str">
        <x:v>https://www.uec.ac.jp/education/graduate/admission/pdf/ie2023.pdf</x:v>
      </x:c>
      <x:c r="Y392" s="27" t="str">
        <x:v>専攻別の公式値。社会人入試の募集人員は「若干名」のため capacity=null。</x:v>
      </x:c>
      <x:c r="Z392" s="47" t="str">
        <x:v>PDFの「志願者数・受験者数・合格者数・入学者数」を転記。</x:v>
      </x:c>
    </x:row>
    <x:row r="393" ht="38" customHeight="1">
      <x:c r="A393" s="2" t="str">
        <x:v>電気通信大学</x:v>
      </x:c>
      <x:c r="B393" s="2" t="str">
        <x:v>情報理工学研究科</x:v>
      </x:c>
      <x:c r="C393" s="2" t="str">
        <x:v>機械知能システム学専攻</x:v>
      </x:c>
      <x:c r="D393" s="44" t="n">
        <x:v>2023</x:v>
      </x:c>
      <x:c r="E393" s="27" t="str">
        <x:v>全年合計</x:v>
      </x:c>
      <x:c r="F393" s="27" t="str">
        <x:v>博士前期課程</x:v>
      </x:c>
      <x:c r="G393" s="27" t="str">
        <x:v>社会人入試</x:v>
      </x:c>
      <x:c r="H393" s="27" t="str">
        <x:v>专攻/系</x:v>
      </x:c>
      <x:c r="I393" s="44"/>
      <x:c r="J393" s="44" t="n">
        <x:v>0</x:v>
      </x:c>
      <x:c r="K393" s="44" t="n">
        <x:v>0</x:v>
      </x:c>
      <x:c r="L393" s="44" t="n">
        <x:v>0</x:v>
      </x:c>
      <x:c r="M393" s="44" t="n">
        <x:v>0</x:v>
      </x:c>
      <x:c r="N393" s="45" t="str">
        <x:f>IF(AND(J393&lt;&gt;"",L393&lt;&gt;0),J393/L393,"")</x:f>
      </x:c>
      <x:c r="O393" s="45" t="str">
        <x:f>IF(AND(K393&lt;&gt;"",L393&lt;&gt;0),K393/L393,"")</x:f>
      </x:c>
      <x:c r="P393" s="46" t="str">
        <x:f>IF(AND(K393&lt;&gt;"",K393&lt;&gt;0,L393&lt;&gt;""),L393/K393,"")</x:f>
      </x:c>
      <x:c r="Q393" s="46" t="str">
        <x:f>IF(AND(L393&lt;&gt;"",L393&lt;&gt;0,M393&lt;&gt;""),M393/L393,"")</x:f>
      </x:c>
      <x:c r="R393" s="45" t="str">
        <x:f>IF(N393&lt;&gt;"",N393,IF(O393&lt;&gt;"",O393,""))</x:f>
      </x:c>
      <x:c r="S393" s="2" t="str">
        <x:f>IF(N393&lt;&gt;"","志愿/合格",IF(O393&lt;&gt;"","受验/合格",""))</x:f>
      </x:c>
      <x:c r="T393" s="2" t="str">
        <x:v>官方</x:v>
      </x:c>
      <x:c r="U393" s="2" t="str">
        <x:v>高</x:v>
      </x:c>
      <x:c r="V393" s="27" t="str">
        <x:v>2023年4月入学 大学院情報理工学研究科（IE）入学者選抜状況</x:v>
      </x:c>
      <x:c r="W393" s="27" t="str">
        <x:v>p.1《博士前期課程》社会人入試・機械知能システム学専攻行</x:v>
      </x:c>
      <x:c r="X393" s="27" t="str">
        <x:v>https://www.uec.ac.jp/education/graduate/admission/pdf/ie2023.pdf</x:v>
      </x:c>
      <x:c r="Y393" s="27" t="str">
        <x:v>専攻別の公式値。社会人入試の募集人員は「若干名」のため capacity=null。</x:v>
      </x:c>
      <x:c r="Z393" s="47" t="str">
        <x:v>PDFの「志願者数・受験者数・合格者数・入学者数」を転記。</x:v>
      </x:c>
    </x:row>
    <x:row r="394" ht="38" customHeight="1">
      <x:c r="A394" s="2" t="str">
        <x:v>電気通信大学</x:v>
      </x:c>
      <x:c r="B394" s="2" t="str">
        <x:v>情報理工学研究科</x:v>
      </x:c>
      <x:c r="C394" s="2" t="str">
        <x:v>機械知能システム学専攻</x:v>
      </x:c>
      <x:c r="D394" s="44" t="n">
        <x:v>2024</x:v>
      </x:c>
      <x:c r="E394" s="27" t="str">
        <x:v>全年合計</x:v>
      </x:c>
      <x:c r="F394" s="27" t="str">
        <x:v>博士前期課程</x:v>
      </x:c>
      <x:c r="G394" s="27" t="str">
        <x:v>一般入試</x:v>
      </x:c>
      <x:c r="H394" s="27" t="str">
        <x:v>专攻/系</x:v>
      </x:c>
      <x:c r="I394" s="44" t="n">
        <x:v>63</x:v>
      </x:c>
      <x:c r="J394" s="44" t="n">
        <x:v>114</x:v>
      </x:c>
      <x:c r="K394" s="44" t="n">
        <x:v>107</x:v>
      </x:c>
      <x:c r="L394" s="44" t="n">
        <x:v>68</x:v>
      </x:c>
      <x:c r="M394" s="44" t="n">
        <x:v>64</x:v>
      </x:c>
      <x:c r="N394" s="45" t="n">
        <x:f>IF(AND(J394&lt;&gt;"",L394&lt;&gt;0),J394/L394,"")</x:f>
        <x:v>1.6764705882352942</x:v>
      </x:c>
      <x:c r="O394" s="45" t="n">
        <x:f>IF(AND(K394&lt;&gt;"",L394&lt;&gt;0),K394/L394,"")</x:f>
        <x:v>1.5735294117647058</x:v>
      </x:c>
      <x:c r="P394" s="46" t="n">
        <x:f>IF(AND(K394&lt;&gt;"",K394&lt;&gt;0,L394&lt;&gt;""),L394/K394,"")</x:f>
        <x:v>0.6355140186915887</x:v>
      </x:c>
      <x:c r="Q394" s="46" t="n">
        <x:f>IF(AND(L394&lt;&gt;"",L394&lt;&gt;0,M394&lt;&gt;""),M394/L394,"")</x:f>
        <x:v>0.9411764705882353</x:v>
      </x:c>
      <x:c r="R394" s="45" t="n">
        <x:f>IF(N394&lt;&gt;"",N394,IF(O394&lt;&gt;"",O394,""))</x:f>
        <x:v>1.6764705882352942</x:v>
      </x:c>
      <x:c r="S394" s="2" t="str">
        <x:f>IF(N394&lt;&gt;"","志愿/合格",IF(O394&lt;&gt;"","受验/合格",""))</x:f>
        <x:v>志愿/合格</x:v>
      </x:c>
      <x:c r="T394" s="2" t="str">
        <x:v>官方</x:v>
      </x:c>
      <x:c r="U394" s="2" t="str">
        <x:v>高</x:v>
      </x:c>
      <x:c r="V394" s="27" t="str">
        <x:v>2024年4月入学 大学院情報理工学研究科（IE）入学者選抜状況</x:v>
      </x:c>
      <x:c r="W394" s="27" t="str">
        <x:v>p.1《博士前期課程》一般入試・機械知能システム学専攻行</x:v>
      </x:c>
      <x:c r="X394" s="27" t="str">
        <x:v>https://www.uec.ac.jp/education/graduate/admission/pdf/ie2024.pdf</x:v>
      </x:c>
      <x:c r="Y394" s="27" t="str">
        <x:v>専攻別の公式値。社会人入試の募集人員は「若干名」のため capacity=null。</x:v>
      </x:c>
      <x:c r="Z394" s="47" t="str">
        <x:v>PDFの「志願者数・受験者数・合格者数・入学者数」を転記。</x:v>
      </x:c>
    </x:row>
    <x:row r="395" ht="38" customHeight="1">
      <x:c r="A395" s="2" t="str">
        <x:v>電気通信大学</x:v>
      </x:c>
      <x:c r="B395" s="2" t="str">
        <x:v>情報理工学研究科</x:v>
      </x:c>
      <x:c r="C395" s="2" t="str">
        <x:v>機械知能システム学専攻</x:v>
      </x:c>
      <x:c r="D395" s="44" t="n">
        <x:v>2024</x:v>
      </x:c>
      <x:c r="E395" s="27" t="str">
        <x:v>全年合計</x:v>
      </x:c>
      <x:c r="F395" s="27" t="str">
        <x:v>博士前期課程</x:v>
      </x:c>
      <x:c r="G395" s="27" t="str">
        <x:v>推薦入試</x:v>
      </x:c>
      <x:c r="H395" s="27" t="str">
        <x:v>专攻/系</x:v>
      </x:c>
      <x:c r="I395" s="44" t="n">
        <x:v>42</x:v>
      </x:c>
      <x:c r="J395" s="44" t="n">
        <x:v>59</x:v>
      </x:c>
      <x:c r="K395" s="44" t="n">
        <x:v>59</x:v>
      </x:c>
      <x:c r="L395" s="44" t="n">
        <x:v>55</x:v>
      </x:c>
      <x:c r="M395" s="44" t="n">
        <x:v>55</x:v>
      </x:c>
      <x:c r="N395" s="45" t="n">
        <x:f>IF(AND(J395&lt;&gt;"",L395&lt;&gt;0),J395/L395,"")</x:f>
        <x:v>1.0727272727272728</x:v>
      </x:c>
      <x:c r="O395" s="45" t="n">
        <x:f>IF(AND(K395&lt;&gt;"",L395&lt;&gt;0),K395/L395,"")</x:f>
        <x:v>1.0727272727272728</x:v>
      </x:c>
      <x:c r="P395" s="46" t="n">
        <x:f>IF(AND(K395&lt;&gt;"",K395&lt;&gt;0,L395&lt;&gt;""),L395/K395,"")</x:f>
        <x:v>0.9322033898305084</x:v>
      </x:c>
      <x:c r="Q395" s="46" t="n">
        <x:f>IF(AND(L395&lt;&gt;"",L395&lt;&gt;0,M395&lt;&gt;""),M395/L395,"")</x:f>
        <x:v>1</x:v>
      </x:c>
      <x:c r="R395" s="45" t="n">
        <x:f>IF(N395&lt;&gt;"",N395,IF(O395&lt;&gt;"",O395,""))</x:f>
        <x:v>1.0727272727272728</x:v>
      </x:c>
      <x:c r="S395" s="2" t="str">
        <x:f>IF(N395&lt;&gt;"","志愿/合格",IF(O395&lt;&gt;"","受验/合格",""))</x:f>
        <x:v>志愿/合格</x:v>
      </x:c>
      <x:c r="T395" s="2" t="str">
        <x:v>官方</x:v>
      </x:c>
      <x:c r="U395" s="2" t="str">
        <x:v>高</x:v>
      </x:c>
      <x:c r="V395" s="27" t="str">
        <x:v>2024年4月入学 大学院情報理工学研究科（IE）入学者選抜状況</x:v>
      </x:c>
      <x:c r="W395" s="27" t="str">
        <x:v>p.1《博士前期課程》推薦入試・機械知能システム学専攻行</x:v>
      </x:c>
      <x:c r="X395" s="27" t="str">
        <x:v>https://www.uec.ac.jp/education/graduate/admission/pdf/ie2024.pdf</x:v>
      </x:c>
      <x:c r="Y395" s="27" t="str">
        <x:v>専攻別の公式値。社会人入試の募集人員は「若干名」のため capacity=null。</x:v>
      </x:c>
      <x:c r="Z395" s="47" t="str">
        <x:v>PDFの「志願者数・受験者数・合格者数・入学者数」を転記。</x:v>
      </x:c>
    </x:row>
    <x:row r="396" ht="38" customHeight="1">
      <x:c r="A396" s="2" t="str">
        <x:v>電気通信大学</x:v>
      </x:c>
      <x:c r="B396" s="2" t="str">
        <x:v>情報理工学研究科</x:v>
      </x:c>
      <x:c r="C396" s="2" t="str">
        <x:v>機械知能システム学専攻</x:v>
      </x:c>
      <x:c r="D396" s="44" t="n">
        <x:v>2024</x:v>
      </x:c>
      <x:c r="E396" s="27" t="str">
        <x:v>全年合計</x:v>
      </x:c>
      <x:c r="F396" s="27" t="str">
        <x:v>博士前期課程</x:v>
      </x:c>
      <x:c r="G396" s="27" t="str">
        <x:v>社会人入試</x:v>
      </x:c>
      <x:c r="H396" s="27" t="str">
        <x:v>专攻/系</x:v>
      </x:c>
      <x:c r="I396" s="44"/>
      <x:c r="J396" s="44" t="n">
        <x:v>1</x:v>
      </x:c>
      <x:c r="K396" s="44" t="n">
        <x:v>1</x:v>
      </x:c>
      <x:c r="L396" s="44" t="n">
        <x:v>0</x:v>
      </x:c>
      <x:c r="M396" s="44" t="n">
        <x:v>0</x:v>
      </x:c>
      <x:c r="N396" s="45" t="str">
        <x:f>IF(AND(J396&lt;&gt;"",L396&lt;&gt;0),J396/L396,"")</x:f>
      </x:c>
      <x:c r="O396" s="45" t="str">
        <x:f>IF(AND(K396&lt;&gt;"",L396&lt;&gt;0),K396/L396,"")</x:f>
      </x:c>
      <x:c r="P396" s="46" t="str">
        <x:f>IF(AND(K396&lt;&gt;"",K396&lt;&gt;0,L396&lt;&gt;""),L396/K396,"")</x:f>
      </x:c>
      <x:c r="Q396" s="46" t="str">
        <x:f>IF(AND(L396&lt;&gt;"",L396&lt;&gt;0,M396&lt;&gt;""),M396/L396,"")</x:f>
      </x:c>
      <x:c r="R396" s="45" t="str">
        <x:f>IF(N396&lt;&gt;"",N396,IF(O396&lt;&gt;"",O396,""))</x:f>
      </x:c>
      <x:c r="S396" s="2" t="str">
        <x:f>IF(N396&lt;&gt;"","志愿/合格",IF(O396&lt;&gt;"","受验/合格",""))</x:f>
      </x:c>
      <x:c r="T396" s="2" t="str">
        <x:v>官方</x:v>
      </x:c>
      <x:c r="U396" s="2" t="str">
        <x:v>高</x:v>
      </x:c>
      <x:c r="V396" s="27" t="str">
        <x:v>2024年4月入学 大学院情報理工学研究科（IE）入学者選抜状況</x:v>
      </x:c>
      <x:c r="W396" s="27" t="str">
        <x:v>p.1《博士前期課程》社会人入試・機械知能システム学専攻行</x:v>
      </x:c>
      <x:c r="X396" s="27" t="str">
        <x:v>https://www.uec.ac.jp/education/graduate/admission/pdf/ie2024.pdf</x:v>
      </x:c>
      <x:c r="Y396" s="27" t="str">
        <x:v>専攻別の公式値。社会人入試の募集人員は「若干名」のため capacity=null。</x:v>
      </x:c>
      <x:c r="Z396" s="47" t="str">
        <x:v>PDFの「志願者数・受験者数・合格者数・入学者数」を転記。</x:v>
      </x:c>
    </x:row>
    <x:row r="397" ht="38" customHeight="1">
      <x:c r="A397" s="2" t="str">
        <x:v>電気通信大学</x:v>
      </x:c>
      <x:c r="B397" s="2" t="str">
        <x:v>情報理工学研究科</x:v>
      </x:c>
      <x:c r="C397" s="2" t="str">
        <x:v>機械知能システム学専攻</x:v>
      </x:c>
      <x:c r="D397" s="44" t="n">
        <x:v>2025</x:v>
      </x:c>
      <x:c r="E397" s="27" t="str">
        <x:v>全年合計</x:v>
      </x:c>
      <x:c r="F397" s="27" t="str">
        <x:v>博士前期課程</x:v>
      </x:c>
      <x:c r="G397" s="27" t="str">
        <x:v>一般入試</x:v>
      </x:c>
      <x:c r="H397" s="27" t="str">
        <x:v>专攻/系</x:v>
      </x:c>
      <x:c r="I397" s="44" t="n">
        <x:v>63</x:v>
      </x:c>
      <x:c r="J397" s="44" t="n">
        <x:v>125</x:v>
      </x:c>
      <x:c r="K397" s="44" t="n">
        <x:v>117</x:v>
      </x:c>
      <x:c r="L397" s="44" t="n">
        <x:v>77</x:v>
      </x:c>
      <x:c r="M397" s="44" t="n">
        <x:v>64</x:v>
      </x:c>
      <x:c r="N397" s="45" t="n">
        <x:f>IF(AND(J397&lt;&gt;"",L397&lt;&gt;0),J397/L397,"")</x:f>
        <x:v>1.6233766233766234</x:v>
      </x:c>
      <x:c r="O397" s="45" t="n">
        <x:f>IF(AND(K397&lt;&gt;"",L397&lt;&gt;0),K397/L397,"")</x:f>
        <x:v>1.5194805194805194</x:v>
      </x:c>
      <x:c r="P397" s="46" t="n">
        <x:f>IF(AND(K397&lt;&gt;"",K397&lt;&gt;0,L397&lt;&gt;""),L397/K397,"")</x:f>
        <x:v>0.6581196581196581</x:v>
      </x:c>
      <x:c r="Q397" s="46" t="n">
        <x:f>IF(AND(L397&lt;&gt;"",L397&lt;&gt;0,M397&lt;&gt;""),M397/L397,"")</x:f>
        <x:v>0.8311688311688312</x:v>
      </x:c>
      <x:c r="R397" s="45" t="n">
        <x:f>IF(N397&lt;&gt;"",N397,IF(O397&lt;&gt;"",O397,""))</x:f>
        <x:v>1.6233766233766234</x:v>
      </x:c>
      <x:c r="S397" s="2" t="str">
        <x:f>IF(N397&lt;&gt;"","志愿/合格",IF(O397&lt;&gt;"","受验/合格",""))</x:f>
        <x:v>志愿/合格</x:v>
      </x:c>
      <x:c r="T397" s="2" t="str">
        <x:v>官方</x:v>
      </x:c>
      <x:c r="U397" s="2" t="str">
        <x:v>高</x:v>
      </x:c>
      <x:c r="V397" s="27" t="str">
        <x:v>2025年4月入学 大学院情報理工学研究科（IE）入学者選抜状況</x:v>
      </x:c>
      <x:c r="W397" s="27" t="str">
        <x:v>p.1《博士前期課程》一般入試・機械知能システム学専攻行</x:v>
      </x:c>
      <x:c r="X397" s="27" t="str">
        <x:v>https://www.uec.ac.jp/education/graduate/admission/pdf/ie2025.pdf</x:v>
      </x:c>
      <x:c r="Y397" s="27" t="str">
        <x:v>専攻別の公式値。社会人入試の募集人員は「若干名」のため capacity=null。</x:v>
      </x:c>
      <x:c r="Z397" s="47" t="str">
        <x:v>PDFの「志願者数・受験者数・合格者数・入学者数」を転記。</x:v>
      </x:c>
    </x:row>
    <x:row r="398" ht="38" customHeight="1">
      <x:c r="A398" s="2" t="str">
        <x:v>電気通信大学</x:v>
      </x:c>
      <x:c r="B398" s="2" t="str">
        <x:v>情報理工学研究科</x:v>
      </x:c>
      <x:c r="C398" s="2" t="str">
        <x:v>機械知能システム学専攻</x:v>
      </x:c>
      <x:c r="D398" s="44" t="n">
        <x:v>2025</x:v>
      </x:c>
      <x:c r="E398" s="27" t="str">
        <x:v>全年合計</x:v>
      </x:c>
      <x:c r="F398" s="27" t="str">
        <x:v>博士前期課程</x:v>
      </x:c>
      <x:c r="G398" s="27" t="str">
        <x:v>推薦入試</x:v>
      </x:c>
      <x:c r="H398" s="27" t="str">
        <x:v>专攻/系</x:v>
      </x:c>
      <x:c r="I398" s="44" t="n">
        <x:v>42</x:v>
      </x:c>
      <x:c r="J398" s="44" t="n">
        <x:v>46</x:v>
      </x:c>
      <x:c r="K398" s="44" t="n">
        <x:v>46</x:v>
      </x:c>
      <x:c r="L398" s="44" t="n">
        <x:v>46</x:v>
      </x:c>
      <x:c r="M398" s="44" t="n">
        <x:v>45</x:v>
      </x:c>
      <x:c r="N398" s="45" t="n">
        <x:f>IF(AND(J398&lt;&gt;"",L398&lt;&gt;0),J398/L398,"")</x:f>
        <x:v>1</x:v>
      </x:c>
      <x:c r="O398" s="45" t="n">
        <x:f>IF(AND(K398&lt;&gt;"",L398&lt;&gt;0),K398/L398,"")</x:f>
        <x:v>1</x:v>
      </x:c>
      <x:c r="P398" s="46" t="n">
        <x:f>IF(AND(K398&lt;&gt;"",K398&lt;&gt;0,L398&lt;&gt;""),L398/K398,"")</x:f>
        <x:v>1</x:v>
      </x:c>
      <x:c r="Q398" s="46" t="n">
        <x:f>IF(AND(L398&lt;&gt;"",L398&lt;&gt;0,M398&lt;&gt;""),M398/L398,"")</x:f>
        <x:v>0.9782608695652174</x:v>
      </x:c>
      <x:c r="R398" s="45" t="n">
        <x:f>IF(N398&lt;&gt;"",N398,IF(O398&lt;&gt;"",O398,""))</x:f>
        <x:v>1</x:v>
      </x:c>
      <x:c r="S398" s="2" t="str">
        <x:f>IF(N398&lt;&gt;"","志愿/合格",IF(O398&lt;&gt;"","受验/合格",""))</x:f>
        <x:v>志愿/合格</x:v>
      </x:c>
      <x:c r="T398" s="2" t="str">
        <x:v>官方</x:v>
      </x:c>
      <x:c r="U398" s="2" t="str">
        <x:v>高</x:v>
      </x:c>
      <x:c r="V398" s="27" t="str">
        <x:v>2025年4月入学 大学院情報理工学研究科（IE）入学者選抜状況</x:v>
      </x:c>
      <x:c r="W398" s="27" t="str">
        <x:v>p.1《博士前期課程》推薦入試・機械知能システム学専攻行</x:v>
      </x:c>
      <x:c r="X398" s="27" t="str">
        <x:v>https://www.uec.ac.jp/education/graduate/admission/pdf/ie2025.pdf</x:v>
      </x:c>
      <x:c r="Y398" s="27" t="str">
        <x:v>専攻別の公式値。社会人入試の募集人員は「若干名」のため capacity=null。</x:v>
      </x:c>
      <x:c r="Z398" s="47" t="str">
        <x:v>PDFの「志願者数・受験者数・合格者数・入学者数」を転記。</x:v>
      </x:c>
    </x:row>
    <x:row r="399" ht="38" customHeight="1">
      <x:c r="A399" s="2" t="str">
        <x:v>電気通信大学</x:v>
      </x:c>
      <x:c r="B399" s="2" t="str">
        <x:v>情報理工学研究科</x:v>
      </x:c>
      <x:c r="C399" s="2" t="str">
        <x:v>機械知能システム学専攻</x:v>
      </x:c>
      <x:c r="D399" s="44" t="n">
        <x:v>2025</x:v>
      </x:c>
      <x:c r="E399" s="27" t="str">
        <x:v>全年合計</x:v>
      </x:c>
      <x:c r="F399" s="27" t="str">
        <x:v>博士前期課程</x:v>
      </x:c>
      <x:c r="G399" s="27" t="str">
        <x:v>社会人入試</x:v>
      </x:c>
      <x:c r="H399" s="27" t="str">
        <x:v>专攻/系</x:v>
      </x:c>
      <x:c r="I399" s="44"/>
      <x:c r="J399" s="44" t="n">
        <x:v>0</x:v>
      </x:c>
      <x:c r="K399" s="44" t="n">
        <x:v>0</x:v>
      </x:c>
      <x:c r="L399" s="44" t="n">
        <x:v>0</x:v>
      </x:c>
      <x:c r="M399" s="44" t="n">
        <x:v>0</x:v>
      </x:c>
      <x:c r="N399" s="45" t="str">
        <x:f>IF(AND(J399&lt;&gt;"",L399&lt;&gt;0),J399/L399,"")</x:f>
      </x:c>
      <x:c r="O399" s="45" t="str">
        <x:f>IF(AND(K399&lt;&gt;"",L399&lt;&gt;0),K399/L399,"")</x:f>
      </x:c>
      <x:c r="P399" s="46" t="str">
        <x:f>IF(AND(K399&lt;&gt;"",K399&lt;&gt;0,L399&lt;&gt;""),L399/K399,"")</x:f>
      </x:c>
      <x:c r="Q399" s="46" t="str">
        <x:f>IF(AND(L399&lt;&gt;"",L399&lt;&gt;0,M399&lt;&gt;""),M399/L399,"")</x:f>
      </x:c>
      <x:c r="R399" s="45" t="str">
        <x:f>IF(N399&lt;&gt;"",N399,IF(O399&lt;&gt;"",O399,""))</x:f>
      </x:c>
      <x:c r="S399" s="2" t="str">
        <x:f>IF(N399&lt;&gt;"","志愿/合格",IF(O399&lt;&gt;"","受验/合格",""))</x:f>
      </x:c>
      <x:c r="T399" s="2" t="str">
        <x:v>官方</x:v>
      </x:c>
      <x:c r="U399" s="2" t="str">
        <x:v>高</x:v>
      </x:c>
      <x:c r="V399" s="27" t="str">
        <x:v>2025年4月入学 大学院情報理工学研究科（IE）入学者選抜状況</x:v>
      </x:c>
      <x:c r="W399" s="27" t="str">
        <x:v>p.1《博士前期課程》社会人入試・機械知能システム学専攻行</x:v>
      </x:c>
      <x:c r="X399" s="27" t="str">
        <x:v>https://www.uec.ac.jp/education/graduate/admission/pdf/ie2025.pdf</x:v>
      </x:c>
      <x:c r="Y399" s="27" t="str">
        <x:v>専攻別の公式値。社会人入試の募集人員は「若干名」のため capacity=null。</x:v>
      </x:c>
      <x:c r="Z399" s="47" t="str">
        <x:v>PDFの「志願者数・受験者数・合格者数・入学者数」を転記。</x:v>
      </x:c>
    </x:row>
    <x:row r="400" ht="38" customHeight="1">
      <x:c r="A400" s="2" t="str">
        <x:v>電気通信大学</x:v>
      </x:c>
      <x:c r="B400" s="2" t="str">
        <x:v>情報理工学研究科</x:v>
      </x:c>
      <x:c r="C400" s="2" t="str">
        <x:v>機械知能システム学専攻</x:v>
      </x:c>
      <x:c r="D400" s="44" t="n">
        <x:v>2026</x:v>
      </x:c>
      <x:c r="E400" s="27" t="str">
        <x:v>全年合計</x:v>
      </x:c>
      <x:c r="F400" s="27" t="str">
        <x:v>博士前期課程</x:v>
      </x:c>
      <x:c r="G400" s="27" t="str">
        <x:v>一般入試</x:v>
      </x:c>
      <x:c r="H400" s="27" t="str">
        <x:v>专攻/系</x:v>
      </x:c>
      <x:c r="I400" s="44" t="n">
        <x:v>63</x:v>
      </x:c>
      <x:c r="J400" s="44" t="n">
        <x:v>109</x:v>
      </x:c>
      <x:c r="K400" s="44" t="n">
        <x:v>107</x:v>
      </x:c>
      <x:c r="L400" s="44" t="n">
        <x:v>69</x:v>
      </x:c>
      <x:c r="M400" s="44" t="n">
        <x:v>66</x:v>
      </x:c>
      <x:c r="N400" s="45" t="n">
        <x:f>IF(AND(J400&lt;&gt;"",L400&lt;&gt;0),J400/L400,"")</x:f>
        <x:v>1.5797101449275361</x:v>
      </x:c>
      <x:c r="O400" s="45" t="n">
        <x:f>IF(AND(K400&lt;&gt;"",L400&lt;&gt;0),K400/L400,"")</x:f>
        <x:v>1.5507246376811594</x:v>
      </x:c>
      <x:c r="P400" s="46" t="n">
        <x:f>IF(AND(K400&lt;&gt;"",K400&lt;&gt;0,L400&lt;&gt;""),L400/K400,"")</x:f>
        <x:v>0.6448598130841121</x:v>
      </x:c>
      <x:c r="Q400" s="46" t="n">
        <x:f>IF(AND(L400&lt;&gt;"",L400&lt;&gt;0,M400&lt;&gt;""),M400/L400,"")</x:f>
        <x:v>0.9565217391304348</x:v>
      </x:c>
      <x:c r="R400" s="45" t="n">
        <x:f>IF(N400&lt;&gt;"",N400,IF(O400&lt;&gt;"",O400,""))</x:f>
        <x:v>1.5797101449275361</x:v>
      </x:c>
      <x:c r="S400" s="2" t="str">
        <x:f>IF(N400&lt;&gt;"","志愿/合格",IF(O400&lt;&gt;"","受验/合格",""))</x:f>
        <x:v>志愿/合格</x:v>
      </x:c>
      <x:c r="T400" s="2" t="str">
        <x:v>官方</x:v>
      </x:c>
      <x:c r="U400" s="2" t="str">
        <x:v>高</x:v>
      </x:c>
      <x:c r="V400" s="27" t="str">
        <x:v>2026年4月入学 大学院情報理工学研究科（IE）入学者選抜状況</x:v>
      </x:c>
      <x:c r="W400" s="27" t="str">
        <x:v>p.1《博士前期課程》一般入試・機械知能システム学専攻行</x:v>
      </x:c>
      <x:c r="X400" s="27" t="str">
        <x:v>https://www.uec.ac.jp/education/graduate/admission/pdf/ie2026.pdf</x:v>
      </x:c>
      <x:c r="Y400" s="27" t="str">
        <x:v>専攻別の公式値。社会人入試の募集人員は「若干名」のため capacity=null。</x:v>
      </x:c>
      <x:c r="Z400" s="47" t="str">
        <x:v>PDFの「志願者数・受験者数・合格者数・入学者数」を転記。</x:v>
      </x:c>
    </x:row>
    <x:row r="401" ht="38" customHeight="1">
      <x:c r="A401" s="2" t="str">
        <x:v>電気通信大学</x:v>
      </x:c>
      <x:c r="B401" s="2" t="str">
        <x:v>情報理工学研究科</x:v>
      </x:c>
      <x:c r="C401" s="2" t="str">
        <x:v>機械知能システム学専攻</x:v>
      </x:c>
      <x:c r="D401" s="44" t="n">
        <x:v>2026</x:v>
      </x:c>
      <x:c r="E401" s="27" t="str">
        <x:v>全年合計</x:v>
      </x:c>
      <x:c r="F401" s="27" t="str">
        <x:v>博士前期課程</x:v>
      </x:c>
      <x:c r="G401" s="27" t="str">
        <x:v>推薦入試</x:v>
      </x:c>
      <x:c r="H401" s="27" t="str">
        <x:v>专攻/系</x:v>
      </x:c>
      <x:c r="I401" s="44" t="n">
        <x:v>42</x:v>
      </x:c>
      <x:c r="J401" s="44" t="n">
        <x:v>57</x:v>
      </x:c>
      <x:c r="K401" s="44" t="n">
        <x:v>57</x:v>
      </x:c>
      <x:c r="L401" s="44" t="n">
        <x:v>54</x:v>
      </x:c>
      <x:c r="M401" s="44" t="n">
        <x:v>54</x:v>
      </x:c>
      <x:c r="N401" s="45" t="n">
        <x:f>IF(AND(J401&lt;&gt;"",L401&lt;&gt;0),J401/L401,"")</x:f>
        <x:v>1.0555555555555556</x:v>
      </x:c>
      <x:c r="O401" s="45" t="n">
        <x:f>IF(AND(K401&lt;&gt;"",L401&lt;&gt;0),K401/L401,"")</x:f>
        <x:v>1.0555555555555556</x:v>
      </x:c>
      <x:c r="P401" s="46" t="n">
        <x:f>IF(AND(K401&lt;&gt;"",K401&lt;&gt;0,L401&lt;&gt;""),L401/K401,"")</x:f>
        <x:v>0.9473684210526315</x:v>
      </x:c>
      <x:c r="Q401" s="46" t="n">
        <x:f>IF(AND(L401&lt;&gt;"",L401&lt;&gt;0,M401&lt;&gt;""),M401/L401,"")</x:f>
        <x:v>1</x:v>
      </x:c>
      <x:c r="R401" s="45" t="n">
        <x:f>IF(N401&lt;&gt;"",N401,IF(O401&lt;&gt;"",O401,""))</x:f>
        <x:v>1.0555555555555556</x:v>
      </x:c>
      <x:c r="S401" s="2" t="str">
        <x:f>IF(N401&lt;&gt;"","志愿/合格",IF(O401&lt;&gt;"","受验/合格",""))</x:f>
        <x:v>志愿/合格</x:v>
      </x:c>
      <x:c r="T401" s="2" t="str">
        <x:v>官方</x:v>
      </x:c>
      <x:c r="U401" s="2" t="str">
        <x:v>高</x:v>
      </x:c>
      <x:c r="V401" s="27" t="str">
        <x:v>2026年4月入学 大学院情報理工学研究科（IE）入学者選抜状況</x:v>
      </x:c>
      <x:c r="W401" s="27" t="str">
        <x:v>p.1《博士前期課程》推薦入試・機械知能システム学専攻行</x:v>
      </x:c>
      <x:c r="X401" s="27" t="str">
        <x:v>https://www.uec.ac.jp/education/graduate/admission/pdf/ie2026.pdf</x:v>
      </x:c>
      <x:c r="Y401" s="27" t="str">
        <x:v>専攻別の公式値。社会人入試の募集人員は「若干名」のため capacity=null。</x:v>
      </x:c>
      <x:c r="Z401" s="47" t="str">
        <x:v>PDFの「志願者数・受験者数・合格者数・入学者数」を転記。</x:v>
      </x:c>
    </x:row>
    <x:row r="402" ht="38" customHeight="1">
      <x:c r="A402" s="2" t="str">
        <x:v>電気通信大学</x:v>
      </x:c>
      <x:c r="B402" s="2" t="str">
        <x:v>情報理工学研究科</x:v>
      </x:c>
      <x:c r="C402" s="2" t="str">
        <x:v>機械知能システム学専攻</x:v>
      </x:c>
      <x:c r="D402" s="44" t="n">
        <x:v>2026</x:v>
      </x:c>
      <x:c r="E402" s="27" t="str">
        <x:v>全年合計</x:v>
      </x:c>
      <x:c r="F402" s="27" t="str">
        <x:v>博士前期課程</x:v>
      </x:c>
      <x:c r="G402" s="27" t="str">
        <x:v>社会人入試</x:v>
      </x:c>
      <x:c r="H402" s="27" t="str">
        <x:v>专攻/系</x:v>
      </x:c>
      <x:c r="I402" s="44"/>
      <x:c r="J402" s="44" t="n">
        <x:v>0</x:v>
      </x:c>
      <x:c r="K402" s="44" t="n">
        <x:v>0</x:v>
      </x:c>
      <x:c r="L402" s="44" t="n">
        <x:v>0</x:v>
      </x:c>
      <x:c r="M402" s="44" t="n">
        <x:v>0</x:v>
      </x:c>
      <x:c r="N402" s="45" t="str">
        <x:f>IF(AND(J402&lt;&gt;"",L402&lt;&gt;0),J402/L402,"")</x:f>
      </x:c>
      <x:c r="O402" s="45" t="str">
        <x:f>IF(AND(K402&lt;&gt;"",L402&lt;&gt;0),K402/L402,"")</x:f>
      </x:c>
      <x:c r="P402" s="46" t="str">
        <x:f>IF(AND(K402&lt;&gt;"",K402&lt;&gt;0,L402&lt;&gt;""),L402/K402,"")</x:f>
      </x:c>
      <x:c r="Q402" s="46" t="str">
        <x:f>IF(AND(L402&lt;&gt;"",L402&lt;&gt;0,M402&lt;&gt;""),M402/L402,"")</x:f>
      </x:c>
      <x:c r="R402" s="45" t="str">
        <x:f>IF(N402&lt;&gt;"",N402,IF(O402&lt;&gt;"",O402,""))</x:f>
      </x:c>
      <x:c r="S402" s="2" t="str">
        <x:f>IF(N402&lt;&gt;"","志愿/合格",IF(O402&lt;&gt;"","受验/合格",""))</x:f>
      </x:c>
      <x:c r="T402" s="2" t="str">
        <x:v>官方</x:v>
      </x:c>
      <x:c r="U402" s="2" t="str">
        <x:v>高</x:v>
      </x:c>
      <x:c r="V402" s="27" t="str">
        <x:v>2026年4月入学 大学院情報理工学研究科（IE）入学者選抜状況</x:v>
      </x:c>
      <x:c r="W402" s="27" t="str">
        <x:v>p.1《博士前期課程》社会人入試・機械知能システム学専攻行</x:v>
      </x:c>
      <x:c r="X402" s="27" t="str">
        <x:v>https://www.uec.ac.jp/education/graduate/admission/pdf/ie2026.pdf</x:v>
      </x:c>
      <x:c r="Y402" s="27" t="str">
        <x:v>専攻別の公式値。社会人入試の募集人員は「若干名」のため capacity=null。</x:v>
      </x:c>
      <x:c r="Z402" s="47" t="str">
        <x:v>PDFの「志願者数・受験者数・合格者数・入学者数」を転記。</x:v>
      </x:c>
    </x:row>
    <x:row r="403" ht="38" customHeight="1">
      <x:c r="A403" s="2" t="str">
        <x:v>電気通信大学</x:v>
      </x:c>
      <x:c r="B403" s="2" t="str">
        <x:v>情報理工学研究科</x:v>
      </x:c>
      <x:c r="C403" s="2" t="str">
        <x:v>情報・ネットワーク工学専攻</x:v>
      </x:c>
      <x:c r="D403" s="44" t="n">
        <x:v>2022</x:v>
      </x:c>
      <x:c r="E403" s="27" t="str">
        <x:v>全年合計</x:v>
      </x:c>
      <x:c r="F403" s="27" t="str">
        <x:v>博士前期課程</x:v>
      </x:c>
      <x:c r="G403" s="27" t="str">
        <x:v>一般入試</x:v>
      </x:c>
      <x:c r="H403" s="27" t="str">
        <x:v>专攻/系</x:v>
      </x:c>
      <x:c r="I403" s="44" t="n">
        <x:v>90</x:v>
      </x:c>
      <x:c r="J403" s="44" t="n">
        <x:v>120</x:v>
      </x:c>
      <x:c r="K403" s="44" t="n">
        <x:v>115</x:v>
      </x:c>
      <x:c r="L403" s="44" t="n">
        <x:v>101</x:v>
      </x:c>
      <x:c r="M403" s="44" t="n">
        <x:v>89</x:v>
      </x:c>
      <x:c r="N403" s="45" t="n">
        <x:f>IF(AND(J403&lt;&gt;"",L403&lt;&gt;0),J403/L403,"")</x:f>
        <x:v>1.188118811881188</x:v>
      </x:c>
      <x:c r="O403" s="45" t="n">
        <x:f>IF(AND(K403&lt;&gt;"",L403&lt;&gt;0),K403/L403,"")</x:f>
        <x:v>1.1386138613861385</x:v>
      </x:c>
      <x:c r="P403" s="46" t="n">
        <x:f>IF(AND(K403&lt;&gt;"",K403&lt;&gt;0,L403&lt;&gt;""),L403/K403,"")</x:f>
        <x:v>0.8782608695652174</x:v>
      </x:c>
      <x:c r="Q403" s="46" t="n">
        <x:f>IF(AND(L403&lt;&gt;"",L403&lt;&gt;0,M403&lt;&gt;""),M403/L403,"")</x:f>
        <x:v>0.8811881188118812</x:v>
      </x:c>
      <x:c r="R403" s="45" t="n">
        <x:f>IF(N403&lt;&gt;"",N403,IF(O403&lt;&gt;"",O403,""))</x:f>
        <x:v>1.188118811881188</x:v>
      </x:c>
      <x:c r="S403" s="2" t="str">
        <x:f>IF(N403&lt;&gt;"","志愿/合格",IF(O403&lt;&gt;"","受验/合格",""))</x:f>
        <x:v>志愿/合格</x:v>
      </x:c>
      <x:c r="T403" s="2" t="str">
        <x:v>官方</x:v>
      </x:c>
      <x:c r="U403" s="2" t="str">
        <x:v>高</x:v>
      </x:c>
      <x:c r="V403" s="27" t="str">
        <x:v>2022年4月入学 大学院情報理工学研究科（IE）入学者選抜状況</x:v>
      </x:c>
      <x:c r="W403" s="27" t="str">
        <x:v>p.1《博士前期課程》一般入試・情報・ネットワーク工学専攻行</x:v>
      </x:c>
      <x:c r="X403" s="27" t="str">
        <x:v>https://www.uec.ac.jp/education/graduate/admission/pdf/ie2022.pdf</x:v>
      </x:c>
      <x:c r="Y403" s="27" t="str">
        <x:v>専攻別の公式値。社会人入試の募集人員は「若干名」のため capacity=null。</x:v>
      </x:c>
      <x:c r="Z403" s="47" t="str">
        <x:v>PDFの「志願者数・受験者数・合格者数・入学者数」を転記。</x:v>
      </x:c>
    </x:row>
    <x:row r="404" ht="38" customHeight="1">
      <x:c r="A404" s="2" t="str">
        <x:v>電気通信大学</x:v>
      </x:c>
      <x:c r="B404" s="2" t="str">
        <x:v>情報理工学研究科</x:v>
      </x:c>
      <x:c r="C404" s="2" t="str">
        <x:v>情報・ネットワーク工学専攻</x:v>
      </x:c>
      <x:c r="D404" s="44" t="n">
        <x:v>2022</x:v>
      </x:c>
      <x:c r="E404" s="27" t="str">
        <x:v>全年合計</x:v>
      </x:c>
      <x:c r="F404" s="27" t="str">
        <x:v>博士前期課程</x:v>
      </x:c>
      <x:c r="G404" s="27" t="str">
        <x:v>推薦入試</x:v>
      </x:c>
      <x:c r="H404" s="27" t="str">
        <x:v>专攻/系</x:v>
      </x:c>
      <x:c r="I404" s="44" t="n">
        <x:v>60</x:v>
      </x:c>
      <x:c r="J404" s="44" t="n">
        <x:v>81</x:v>
      </x:c>
      <x:c r="K404" s="44" t="n">
        <x:v>81</x:v>
      </x:c>
      <x:c r="L404" s="44" t="n">
        <x:v>78</x:v>
      </x:c>
      <x:c r="M404" s="44" t="n">
        <x:v>75</x:v>
      </x:c>
      <x:c r="N404" s="45" t="n">
        <x:f>IF(AND(J404&lt;&gt;"",L404&lt;&gt;0),J404/L404,"")</x:f>
        <x:v>1.0384615384615385</x:v>
      </x:c>
      <x:c r="O404" s="45" t="n">
        <x:f>IF(AND(K404&lt;&gt;"",L404&lt;&gt;0),K404/L404,"")</x:f>
        <x:v>1.0384615384615385</x:v>
      </x:c>
      <x:c r="P404" s="46" t="n">
        <x:f>IF(AND(K404&lt;&gt;"",K404&lt;&gt;0,L404&lt;&gt;""),L404/K404,"")</x:f>
        <x:v>0.9629629629629629</x:v>
      </x:c>
      <x:c r="Q404" s="46" t="n">
        <x:f>IF(AND(L404&lt;&gt;"",L404&lt;&gt;0,M404&lt;&gt;""),M404/L404,"")</x:f>
        <x:v>0.9615384615384616</x:v>
      </x:c>
      <x:c r="R404" s="45" t="n">
        <x:f>IF(N404&lt;&gt;"",N404,IF(O404&lt;&gt;"",O404,""))</x:f>
        <x:v>1.0384615384615385</x:v>
      </x:c>
      <x:c r="S404" s="2" t="str">
        <x:f>IF(N404&lt;&gt;"","志愿/合格",IF(O404&lt;&gt;"","受验/合格",""))</x:f>
        <x:v>志愿/合格</x:v>
      </x:c>
      <x:c r="T404" s="2" t="str">
        <x:v>官方</x:v>
      </x:c>
      <x:c r="U404" s="2" t="str">
        <x:v>高</x:v>
      </x:c>
      <x:c r="V404" s="27" t="str">
        <x:v>2022年4月入学 大学院情報理工学研究科（IE）入学者選抜状況</x:v>
      </x:c>
      <x:c r="W404" s="27" t="str">
        <x:v>p.1《博士前期課程》推薦入試・情報・ネットワーク工学専攻行</x:v>
      </x:c>
      <x:c r="X404" s="27" t="str">
        <x:v>https://www.uec.ac.jp/education/graduate/admission/pdf/ie2022.pdf</x:v>
      </x:c>
      <x:c r="Y404" s="27" t="str">
        <x:v>専攻別の公式値。社会人入試の募集人員は「若干名」のため capacity=null。</x:v>
      </x:c>
      <x:c r="Z404" s="47" t="str">
        <x:v>PDFの「志願者数・受験者数・合格者数・入学者数」を転記。</x:v>
      </x:c>
    </x:row>
    <x:row r="405" ht="38" customHeight="1">
      <x:c r="A405" s="2" t="str">
        <x:v>電気通信大学</x:v>
      </x:c>
      <x:c r="B405" s="2" t="str">
        <x:v>情報理工学研究科</x:v>
      </x:c>
      <x:c r="C405" s="2" t="str">
        <x:v>情報・ネットワーク工学専攻</x:v>
      </x:c>
      <x:c r="D405" s="44" t="n">
        <x:v>2022</x:v>
      </x:c>
      <x:c r="E405" s="27" t="str">
        <x:v>全年合計</x:v>
      </x:c>
      <x:c r="F405" s="27" t="str">
        <x:v>博士前期課程</x:v>
      </x:c>
      <x:c r="G405" s="27" t="str">
        <x:v>社会人入試</x:v>
      </x:c>
      <x:c r="H405" s="27" t="str">
        <x:v>专攻/系</x:v>
      </x:c>
      <x:c r="I405" s="44"/>
      <x:c r="J405" s="44" t="n">
        <x:v>2</x:v>
      </x:c>
      <x:c r="K405" s="44" t="n">
        <x:v>2</x:v>
      </x:c>
      <x:c r="L405" s="44" t="n">
        <x:v>2</x:v>
      </x:c>
      <x:c r="M405" s="44" t="n">
        <x:v>2</x:v>
      </x:c>
      <x:c r="N405" s="45" t="n">
        <x:f>IF(AND(J405&lt;&gt;"",L405&lt;&gt;0),J405/L405,"")</x:f>
        <x:v>1</x:v>
      </x:c>
      <x:c r="O405" s="45" t="n">
        <x:f>IF(AND(K405&lt;&gt;"",L405&lt;&gt;0),K405/L405,"")</x:f>
        <x:v>1</x:v>
      </x:c>
      <x:c r="P405" s="46" t="n">
        <x:f>IF(AND(K405&lt;&gt;"",K405&lt;&gt;0,L405&lt;&gt;""),L405/K405,"")</x:f>
        <x:v>1</x:v>
      </x:c>
      <x:c r="Q405" s="46" t="n">
        <x:f>IF(AND(L405&lt;&gt;"",L405&lt;&gt;0,M405&lt;&gt;""),M405/L405,"")</x:f>
        <x:v>1</x:v>
      </x:c>
      <x:c r="R405" s="45" t="n">
        <x:f>IF(N405&lt;&gt;"",N405,IF(O405&lt;&gt;"",O405,""))</x:f>
        <x:v>1</x:v>
      </x:c>
      <x:c r="S405" s="2" t="str">
        <x:f>IF(N405&lt;&gt;"","志愿/合格",IF(O405&lt;&gt;"","受验/合格",""))</x:f>
        <x:v>志愿/合格</x:v>
      </x:c>
      <x:c r="T405" s="2" t="str">
        <x:v>官方</x:v>
      </x:c>
      <x:c r="U405" s="2" t="str">
        <x:v>高</x:v>
      </x:c>
      <x:c r="V405" s="27" t="str">
        <x:v>2022年4月入学 大学院情報理工学研究科（IE）入学者選抜状況</x:v>
      </x:c>
      <x:c r="W405" s="27" t="str">
        <x:v>p.1《博士前期課程》社会人入試・情報・ネットワーク工学専攻行</x:v>
      </x:c>
      <x:c r="X405" s="27" t="str">
        <x:v>https://www.uec.ac.jp/education/graduate/admission/pdf/ie2022.pdf</x:v>
      </x:c>
      <x:c r="Y405" s="27" t="str">
        <x:v>専攻別の公式値。社会人入試の募集人員は「若干名」のため capacity=null。</x:v>
      </x:c>
      <x:c r="Z405" s="47" t="str">
        <x:v>PDFの「志願者数・受験者数・合格者数・入学者数」を転記。</x:v>
      </x:c>
    </x:row>
    <x:row r="406" ht="38" customHeight="1">
      <x:c r="A406" s="2" t="str">
        <x:v>電気通信大学</x:v>
      </x:c>
      <x:c r="B406" s="2" t="str">
        <x:v>情報理工学研究科</x:v>
      </x:c>
      <x:c r="C406" s="2" t="str">
        <x:v>情報・ネットワーク工学専攻</x:v>
      </x:c>
      <x:c r="D406" s="44" t="n">
        <x:v>2023</x:v>
      </x:c>
      <x:c r="E406" s="27" t="str">
        <x:v>全年合計</x:v>
      </x:c>
      <x:c r="F406" s="27" t="str">
        <x:v>博士前期課程</x:v>
      </x:c>
      <x:c r="G406" s="27" t="str">
        <x:v>一般入試</x:v>
      </x:c>
      <x:c r="H406" s="27" t="str">
        <x:v>专攻/系</x:v>
      </x:c>
      <x:c r="I406" s="44" t="n">
        <x:v>90</x:v>
      </x:c>
      <x:c r="J406" s="44" t="n">
        <x:v>140</x:v>
      </x:c>
      <x:c r="K406" s="44" t="n">
        <x:v>134</x:v>
      </x:c>
      <x:c r="L406" s="44" t="n">
        <x:v>111</x:v>
      </x:c>
      <x:c r="M406" s="44" t="n">
        <x:v>97</x:v>
      </x:c>
      <x:c r="N406" s="45" t="n">
        <x:f>IF(AND(J406&lt;&gt;"",L406&lt;&gt;0),J406/L406,"")</x:f>
        <x:v>1.2612612612612613</x:v>
      </x:c>
      <x:c r="O406" s="45" t="n">
        <x:f>IF(AND(K406&lt;&gt;"",L406&lt;&gt;0),K406/L406,"")</x:f>
        <x:v>1.2072072072072073</x:v>
      </x:c>
      <x:c r="P406" s="46" t="n">
        <x:f>IF(AND(K406&lt;&gt;"",K406&lt;&gt;0,L406&lt;&gt;""),L406/K406,"")</x:f>
        <x:v>0.8283582089552238</x:v>
      </x:c>
      <x:c r="Q406" s="46" t="n">
        <x:f>IF(AND(L406&lt;&gt;"",L406&lt;&gt;0,M406&lt;&gt;""),M406/L406,"")</x:f>
        <x:v>0.8738738738738738</x:v>
      </x:c>
      <x:c r="R406" s="45" t="n">
        <x:f>IF(N406&lt;&gt;"",N406,IF(O406&lt;&gt;"",O406,""))</x:f>
        <x:v>1.2612612612612613</x:v>
      </x:c>
      <x:c r="S406" s="2" t="str">
        <x:f>IF(N406&lt;&gt;"","志愿/合格",IF(O406&lt;&gt;"","受验/合格",""))</x:f>
        <x:v>志愿/合格</x:v>
      </x:c>
      <x:c r="T406" s="2" t="str">
        <x:v>官方</x:v>
      </x:c>
      <x:c r="U406" s="2" t="str">
        <x:v>高</x:v>
      </x:c>
      <x:c r="V406" s="27" t="str">
        <x:v>2023年4月入学 大学院情報理工学研究科（IE）入学者選抜状況</x:v>
      </x:c>
      <x:c r="W406" s="27" t="str">
        <x:v>p.1《博士前期課程》一般入試・情報・ネットワーク工学専攻行</x:v>
      </x:c>
      <x:c r="X406" s="27" t="str">
        <x:v>https://www.uec.ac.jp/education/graduate/admission/pdf/ie2023.pdf</x:v>
      </x:c>
      <x:c r="Y406" s="27" t="str">
        <x:v>専攻別の公式値。社会人入試の募集人員は「若干名」のため capacity=null。</x:v>
      </x:c>
      <x:c r="Z406" s="47" t="str">
        <x:v>PDFの「志願者数・受験者数・合格者数・入学者数」を転記。</x:v>
      </x:c>
    </x:row>
    <x:row r="407" ht="38" customHeight="1">
      <x:c r="A407" s="2" t="str">
        <x:v>電気通信大学</x:v>
      </x:c>
      <x:c r="B407" s="2" t="str">
        <x:v>情報理工学研究科</x:v>
      </x:c>
      <x:c r="C407" s="2" t="str">
        <x:v>情報・ネットワーク工学専攻</x:v>
      </x:c>
      <x:c r="D407" s="44" t="n">
        <x:v>2023</x:v>
      </x:c>
      <x:c r="E407" s="27" t="str">
        <x:v>全年合計</x:v>
      </x:c>
      <x:c r="F407" s="27" t="str">
        <x:v>博士前期課程</x:v>
      </x:c>
      <x:c r="G407" s="27" t="str">
        <x:v>推薦入試</x:v>
      </x:c>
      <x:c r="H407" s="27" t="str">
        <x:v>专攻/系</x:v>
      </x:c>
      <x:c r="I407" s="44" t="n">
        <x:v>60</x:v>
      </x:c>
      <x:c r="J407" s="44" t="n">
        <x:v>76</x:v>
      </x:c>
      <x:c r="K407" s="44" t="n">
        <x:v>76</x:v>
      </x:c>
      <x:c r="L407" s="44" t="n">
        <x:v>76</x:v>
      </x:c>
      <x:c r="M407" s="44" t="n">
        <x:v>74</x:v>
      </x:c>
      <x:c r="N407" s="45" t="n">
        <x:f>IF(AND(J407&lt;&gt;"",L407&lt;&gt;0),J407/L407,"")</x:f>
        <x:v>1</x:v>
      </x:c>
      <x:c r="O407" s="45" t="n">
        <x:f>IF(AND(K407&lt;&gt;"",L407&lt;&gt;0),K407/L407,"")</x:f>
        <x:v>1</x:v>
      </x:c>
      <x:c r="P407" s="46" t="n">
        <x:f>IF(AND(K407&lt;&gt;"",K407&lt;&gt;0,L407&lt;&gt;""),L407/K407,"")</x:f>
        <x:v>1</x:v>
      </x:c>
      <x:c r="Q407" s="46" t="n">
        <x:f>IF(AND(L407&lt;&gt;"",L407&lt;&gt;0,M407&lt;&gt;""),M407/L407,"")</x:f>
        <x:v>0.9736842105263158</x:v>
      </x:c>
      <x:c r="R407" s="45" t="n">
        <x:f>IF(N407&lt;&gt;"",N407,IF(O407&lt;&gt;"",O407,""))</x:f>
        <x:v>1</x:v>
      </x:c>
      <x:c r="S407" s="2" t="str">
        <x:f>IF(N407&lt;&gt;"","志愿/合格",IF(O407&lt;&gt;"","受验/合格",""))</x:f>
        <x:v>志愿/合格</x:v>
      </x:c>
      <x:c r="T407" s="2" t="str">
        <x:v>官方</x:v>
      </x:c>
      <x:c r="U407" s="2" t="str">
        <x:v>高</x:v>
      </x:c>
      <x:c r="V407" s="27" t="str">
        <x:v>2023年4月入学 大学院情報理工学研究科（IE）入学者選抜状況</x:v>
      </x:c>
      <x:c r="W407" s="27" t="str">
        <x:v>p.1《博士前期課程》推薦入試・情報・ネットワーク工学専攻行</x:v>
      </x:c>
      <x:c r="X407" s="27" t="str">
        <x:v>https://www.uec.ac.jp/education/graduate/admission/pdf/ie2023.pdf</x:v>
      </x:c>
      <x:c r="Y407" s="27" t="str">
        <x:v>専攻別の公式値。社会人入試の募集人員は「若干名」のため capacity=null。</x:v>
      </x:c>
      <x:c r="Z407" s="47" t="str">
        <x:v>PDFの「志願者数・受験者数・合格者数・入学者数」を転記。</x:v>
      </x:c>
    </x:row>
    <x:row r="408" ht="38" customHeight="1">
      <x:c r="A408" s="2" t="str">
        <x:v>電気通信大学</x:v>
      </x:c>
      <x:c r="B408" s="2" t="str">
        <x:v>情報理工学研究科</x:v>
      </x:c>
      <x:c r="C408" s="2" t="str">
        <x:v>情報・ネットワーク工学専攻</x:v>
      </x:c>
      <x:c r="D408" s="44" t="n">
        <x:v>2023</x:v>
      </x:c>
      <x:c r="E408" s="27" t="str">
        <x:v>全年合計</x:v>
      </x:c>
      <x:c r="F408" s="27" t="str">
        <x:v>博士前期課程</x:v>
      </x:c>
      <x:c r="G408" s="27" t="str">
        <x:v>社会人入試</x:v>
      </x:c>
      <x:c r="H408" s="27" t="str">
        <x:v>专攻/系</x:v>
      </x:c>
      <x:c r="I408" s="44"/>
      <x:c r="J408" s="44" t="n">
        <x:v>1</x:v>
      </x:c>
      <x:c r="K408" s="44" t="n">
        <x:v>1</x:v>
      </x:c>
      <x:c r="L408" s="44" t="n">
        <x:v>1</x:v>
      </x:c>
      <x:c r="M408" s="44" t="n">
        <x:v>1</x:v>
      </x:c>
      <x:c r="N408" s="45" t="n">
        <x:f>IF(AND(J408&lt;&gt;"",L408&lt;&gt;0),J408/L408,"")</x:f>
        <x:v>1</x:v>
      </x:c>
      <x:c r="O408" s="45" t="n">
        <x:f>IF(AND(K408&lt;&gt;"",L408&lt;&gt;0),K408/L408,"")</x:f>
        <x:v>1</x:v>
      </x:c>
      <x:c r="P408" s="46" t="n">
        <x:f>IF(AND(K408&lt;&gt;"",K408&lt;&gt;0,L408&lt;&gt;""),L408/K408,"")</x:f>
        <x:v>1</x:v>
      </x:c>
      <x:c r="Q408" s="46" t="n">
        <x:f>IF(AND(L408&lt;&gt;"",L408&lt;&gt;0,M408&lt;&gt;""),M408/L408,"")</x:f>
        <x:v>1</x:v>
      </x:c>
      <x:c r="R408" s="45" t="n">
        <x:f>IF(N408&lt;&gt;"",N408,IF(O408&lt;&gt;"",O408,""))</x:f>
        <x:v>1</x:v>
      </x:c>
      <x:c r="S408" s="2" t="str">
        <x:f>IF(N408&lt;&gt;"","志愿/合格",IF(O408&lt;&gt;"","受验/合格",""))</x:f>
        <x:v>志愿/合格</x:v>
      </x:c>
      <x:c r="T408" s="2" t="str">
        <x:v>官方</x:v>
      </x:c>
      <x:c r="U408" s="2" t="str">
        <x:v>高</x:v>
      </x:c>
      <x:c r="V408" s="27" t="str">
        <x:v>2023年4月入学 大学院情報理工学研究科（IE）入学者選抜状況</x:v>
      </x:c>
      <x:c r="W408" s="27" t="str">
        <x:v>p.1《博士前期課程》社会人入試・情報・ネットワーク工学専攻行</x:v>
      </x:c>
      <x:c r="X408" s="27" t="str">
        <x:v>https://www.uec.ac.jp/education/graduate/admission/pdf/ie2023.pdf</x:v>
      </x:c>
      <x:c r="Y408" s="27" t="str">
        <x:v>専攻別の公式値。社会人入試の募集人員は「若干名」のため capacity=null。</x:v>
      </x:c>
      <x:c r="Z408" s="47" t="str">
        <x:v>PDFの「志願者数・受験者数・合格者数・入学者数」を転記。</x:v>
      </x:c>
    </x:row>
    <x:row r="409" ht="38" customHeight="1">
      <x:c r="A409" s="2" t="str">
        <x:v>電気通信大学</x:v>
      </x:c>
      <x:c r="B409" s="2" t="str">
        <x:v>情報理工学研究科</x:v>
      </x:c>
      <x:c r="C409" s="2" t="str">
        <x:v>情報・ネットワーク工学専攻</x:v>
      </x:c>
      <x:c r="D409" s="44" t="n">
        <x:v>2024</x:v>
      </x:c>
      <x:c r="E409" s="27" t="str">
        <x:v>全年合計</x:v>
      </x:c>
      <x:c r="F409" s="27" t="str">
        <x:v>博士前期課程</x:v>
      </x:c>
      <x:c r="G409" s="27" t="str">
        <x:v>一般入試</x:v>
      </x:c>
      <x:c r="H409" s="27" t="str">
        <x:v>专攻/系</x:v>
      </x:c>
      <x:c r="I409" s="44" t="n">
        <x:v>90</x:v>
      </x:c>
      <x:c r="J409" s="44" t="n">
        <x:v>161</x:v>
      </x:c>
      <x:c r="K409" s="44" t="n">
        <x:v>150</x:v>
      </x:c>
      <x:c r="L409" s="44" t="n">
        <x:v>105</x:v>
      </x:c>
      <x:c r="M409" s="44" t="n">
        <x:v>101</x:v>
      </x:c>
      <x:c r="N409" s="45" t="n">
        <x:f>IF(AND(J409&lt;&gt;"",L409&lt;&gt;0),J409/L409,"")</x:f>
        <x:v>1.5333333333333334</x:v>
      </x:c>
      <x:c r="O409" s="45" t="n">
        <x:f>IF(AND(K409&lt;&gt;"",L409&lt;&gt;0),K409/L409,"")</x:f>
        <x:v>1.4285714285714286</x:v>
      </x:c>
      <x:c r="P409" s="46" t="n">
        <x:f>IF(AND(K409&lt;&gt;"",K409&lt;&gt;0,L409&lt;&gt;""),L409/K409,"")</x:f>
        <x:v>0.7</x:v>
      </x:c>
      <x:c r="Q409" s="46" t="n">
        <x:f>IF(AND(L409&lt;&gt;"",L409&lt;&gt;0,M409&lt;&gt;""),M409/L409,"")</x:f>
        <x:v>0.9619047619047619</x:v>
      </x:c>
      <x:c r="R409" s="45" t="n">
        <x:f>IF(N409&lt;&gt;"",N409,IF(O409&lt;&gt;"",O409,""))</x:f>
        <x:v>1.5333333333333334</x:v>
      </x:c>
      <x:c r="S409" s="2" t="str">
        <x:f>IF(N409&lt;&gt;"","志愿/合格",IF(O409&lt;&gt;"","受验/合格",""))</x:f>
        <x:v>志愿/合格</x:v>
      </x:c>
      <x:c r="T409" s="2" t="str">
        <x:v>官方</x:v>
      </x:c>
      <x:c r="U409" s="2" t="str">
        <x:v>高</x:v>
      </x:c>
      <x:c r="V409" s="27" t="str">
        <x:v>2024年4月入学 大学院情報理工学研究科（IE）入学者選抜状況</x:v>
      </x:c>
      <x:c r="W409" s="27" t="str">
        <x:v>p.1《博士前期課程》一般入試・情報・ネットワーク工学専攻行</x:v>
      </x:c>
      <x:c r="X409" s="27" t="str">
        <x:v>https://www.uec.ac.jp/education/graduate/admission/pdf/ie2024.pdf</x:v>
      </x:c>
      <x:c r="Y409" s="27" t="str">
        <x:v>専攻別の公式値。社会人入試の募集人員は「若干名」のため capacity=null。</x:v>
      </x:c>
      <x:c r="Z409" s="47" t="str">
        <x:v>PDFの「志願者数・受験者数・合格者数・入学者数」を転記。</x:v>
      </x:c>
    </x:row>
    <x:row r="410" ht="38" customHeight="1">
      <x:c r="A410" s="2" t="str">
        <x:v>電気通信大学</x:v>
      </x:c>
      <x:c r="B410" s="2" t="str">
        <x:v>情報理工学研究科</x:v>
      </x:c>
      <x:c r="C410" s="2" t="str">
        <x:v>情報・ネットワーク工学専攻</x:v>
      </x:c>
      <x:c r="D410" s="44" t="n">
        <x:v>2024</x:v>
      </x:c>
      <x:c r="E410" s="27" t="str">
        <x:v>全年合計</x:v>
      </x:c>
      <x:c r="F410" s="27" t="str">
        <x:v>博士前期課程</x:v>
      </x:c>
      <x:c r="G410" s="27" t="str">
        <x:v>推薦入試</x:v>
      </x:c>
      <x:c r="H410" s="27" t="str">
        <x:v>专攻/系</x:v>
      </x:c>
      <x:c r="I410" s="44" t="n">
        <x:v>60</x:v>
      </x:c>
      <x:c r="J410" s="44" t="n">
        <x:v>83</x:v>
      </x:c>
      <x:c r="K410" s="44" t="n">
        <x:v>83</x:v>
      </x:c>
      <x:c r="L410" s="44" t="n">
        <x:v>77</x:v>
      </x:c>
      <x:c r="M410" s="44" t="n">
        <x:v>76</x:v>
      </x:c>
      <x:c r="N410" s="45" t="n">
        <x:f>IF(AND(J410&lt;&gt;"",L410&lt;&gt;0),J410/L410,"")</x:f>
        <x:v>1.077922077922078</x:v>
      </x:c>
      <x:c r="O410" s="45" t="n">
        <x:f>IF(AND(K410&lt;&gt;"",L410&lt;&gt;0),K410/L410,"")</x:f>
        <x:v>1.077922077922078</x:v>
      </x:c>
      <x:c r="P410" s="46" t="n">
        <x:f>IF(AND(K410&lt;&gt;"",K410&lt;&gt;0,L410&lt;&gt;""),L410/K410,"")</x:f>
        <x:v>0.927710843373494</x:v>
      </x:c>
      <x:c r="Q410" s="46" t="n">
        <x:f>IF(AND(L410&lt;&gt;"",L410&lt;&gt;0,M410&lt;&gt;""),M410/L410,"")</x:f>
        <x:v>0.987012987012987</x:v>
      </x:c>
      <x:c r="R410" s="45" t="n">
        <x:f>IF(N410&lt;&gt;"",N410,IF(O410&lt;&gt;"",O410,""))</x:f>
        <x:v>1.077922077922078</x:v>
      </x:c>
      <x:c r="S410" s="2" t="str">
        <x:f>IF(N410&lt;&gt;"","志愿/合格",IF(O410&lt;&gt;"","受验/合格",""))</x:f>
        <x:v>志愿/合格</x:v>
      </x:c>
      <x:c r="T410" s="2" t="str">
        <x:v>官方</x:v>
      </x:c>
      <x:c r="U410" s="2" t="str">
        <x:v>高</x:v>
      </x:c>
      <x:c r="V410" s="27" t="str">
        <x:v>2024年4月入学 大学院情報理工学研究科（IE）入学者選抜状況</x:v>
      </x:c>
      <x:c r="W410" s="27" t="str">
        <x:v>p.1《博士前期課程》推薦入試・情報・ネットワーク工学専攻行</x:v>
      </x:c>
      <x:c r="X410" s="27" t="str">
        <x:v>https://www.uec.ac.jp/education/graduate/admission/pdf/ie2024.pdf</x:v>
      </x:c>
      <x:c r="Y410" s="27" t="str">
        <x:v>専攻別の公式値。社会人入試の募集人員は「若干名」のため capacity=null。</x:v>
      </x:c>
      <x:c r="Z410" s="47" t="str">
        <x:v>PDFの「志願者数・受験者数・合格者数・入学者数」を転記。</x:v>
      </x:c>
    </x:row>
    <x:row r="411" ht="38" customHeight="1">
      <x:c r="A411" s="2" t="str">
        <x:v>電気通信大学</x:v>
      </x:c>
      <x:c r="B411" s="2" t="str">
        <x:v>情報理工学研究科</x:v>
      </x:c>
      <x:c r="C411" s="2" t="str">
        <x:v>情報・ネットワーク工学専攻</x:v>
      </x:c>
      <x:c r="D411" s="44" t="n">
        <x:v>2024</x:v>
      </x:c>
      <x:c r="E411" s="27" t="str">
        <x:v>全年合計</x:v>
      </x:c>
      <x:c r="F411" s="27" t="str">
        <x:v>博士前期課程</x:v>
      </x:c>
      <x:c r="G411" s="27" t="str">
        <x:v>社会人入試</x:v>
      </x:c>
      <x:c r="H411" s="27" t="str">
        <x:v>专攻/系</x:v>
      </x:c>
      <x:c r="I411" s="44"/>
      <x:c r="J411" s="44" t="n">
        <x:v>2</x:v>
      </x:c>
      <x:c r="K411" s="44" t="n">
        <x:v>2</x:v>
      </x:c>
      <x:c r="L411" s="44" t="n">
        <x:v>1</x:v>
      </x:c>
      <x:c r="M411" s="44" t="n">
        <x:v>1</x:v>
      </x:c>
      <x:c r="N411" s="45" t="n">
        <x:f>IF(AND(J411&lt;&gt;"",L411&lt;&gt;0),J411/L411,"")</x:f>
        <x:v>2</x:v>
      </x:c>
      <x:c r="O411" s="45" t="n">
        <x:f>IF(AND(K411&lt;&gt;"",L411&lt;&gt;0),K411/L411,"")</x:f>
        <x:v>2</x:v>
      </x:c>
      <x:c r="P411" s="46" t="n">
        <x:f>IF(AND(K411&lt;&gt;"",K411&lt;&gt;0,L411&lt;&gt;""),L411/K411,"")</x:f>
        <x:v>0.5</x:v>
      </x:c>
      <x:c r="Q411" s="46" t="n">
        <x:f>IF(AND(L411&lt;&gt;"",L411&lt;&gt;0,M411&lt;&gt;""),M411/L411,"")</x:f>
        <x:v>1</x:v>
      </x:c>
      <x:c r="R411" s="45" t="n">
        <x:f>IF(N411&lt;&gt;"",N411,IF(O411&lt;&gt;"",O411,""))</x:f>
        <x:v>2</x:v>
      </x:c>
      <x:c r="S411" s="2" t="str">
        <x:f>IF(N411&lt;&gt;"","志愿/合格",IF(O411&lt;&gt;"","受验/合格",""))</x:f>
        <x:v>志愿/合格</x:v>
      </x:c>
      <x:c r="T411" s="2" t="str">
        <x:v>官方</x:v>
      </x:c>
      <x:c r="U411" s="2" t="str">
        <x:v>高</x:v>
      </x:c>
      <x:c r="V411" s="27" t="str">
        <x:v>2024年4月入学 大学院情報理工学研究科（IE）入学者選抜状況</x:v>
      </x:c>
      <x:c r="W411" s="27" t="str">
        <x:v>p.1《博士前期課程》社会人入試・情報・ネットワーク工学専攻行</x:v>
      </x:c>
      <x:c r="X411" s="27" t="str">
        <x:v>https://www.uec.ac.jp/education/graduate/admission/pdf/ie2024.pdf</x:v>
      </x:c>
      <x:c r="Y411" s="27" t="str">
        <x:v>専攻別の公式値。社会人入試の募集人員は「若干名」のため capacity=null。</x:v>
      </x:c>
      <x:c r="Z411" s="47" t="str">
        <x:v>PDFの「志願者数・受験者数・合格者数・入学者数」を転記。</x:v>
      </x:c>
    </x:row>
    <x:row r="412" ht="38" customHeight="1">
      <x:c r="A412" s="2" t="str">
        <x:v>電気通信大学</x:v>
      </x:c>
      <x:c r="B412" s="2" t="str">
        <x:v>情報理工学研究科</x:v>
      </x:c>
      <x:c r="C412" s="2" t="str">
        <x:v>情報・ネットワーク工学専攻</x:v>
      </x:c>
      <x:c r="D412" s="44" t="n">
        <x:v>2025</x:v>
      </x:c>
      <x:c r="E412" s="27" t="str">
        <x:v>全年合計</x:v>
      </x:c>
      <x:c r="F412" s="27" t="str">
        <x:v>博士前期課程</x:v>
      </x:c>
      <x:c r="G412" s="27" t="str">
        <x:v>一般入試</x:v>
      </x:c>
      <x:c r="H412" s="27" t="str">
        <x:v>专攻/系</x:v>
      </x:c>
      <x:c r="I412" s="44" t="n">
        <x:v>90</x:v>
      </x:c>
      <x:c r="J412" s="44" t="n">
        <x:v>174</x:v>
      </x:c>
      <x:c r="K412" s="44" t="n">
        <x:v>166</x:v>
      </x:c>
      <x:c r="L412" s="44" t="n">
        <x:v>100</x:v>
      </x:c>
      <x:c r="M412" s="44" t="n">
        <x:v>87</x:v>
      </x:c>
      <x:c r="N412" s="45" t="n">
        <x:f>IF(AND(J412&lt;&gt;"",L412&lt;&gt;0),J412/L412,"")</x:f>
        <x:v>1.74</x:v>
      </x:c>
      <x:c r="O412" s="45" t="n">
        <x:f>IF(AND(K412&lt;&gt;"",L412&lt;&gt;0),K412/L412,"")</x:f>
        <x:v>1.66</x:v>
      </x:c>
      <x:c r="P412" s="46" t="n">
        <x:f>IF(AND(K412&lt;&gt;"",K412&lt;&gt;0,L412&lt;&gt;""),L412/K412,"")</x:f>
        <x:v>0.6024096385542169</x:v>
      </x:c>
      <x:c r="Q412" s="46" t="n">
        <x:f>IF(AND(L412&lt;&gt;"",L412&lt;&gt;0,M412&lt;&gt;""),M412/L412,"")</x:f>
        <x:v>0.87</x:v>
      </x:c>
      <x:c r="R412" s="45" t="n">
        <x:f>IF(N412&lt;&gt;"",N412,IF(O412&lt;&gt;"",O412,""))</x:f>
        <x:v>1.74</x:v>
      </x:c>
      <x:c r="S412" s="2" t="str">
        <x:f>IF(N412&lt;&gt;"","志愿/合格",IF(O412&lt;&gt;"","受验/合格",""))</x:f>
        <x:v>志愿/合格</x:v>
      </x:c>
      <x:c r="T412" s="2" t="str">
        <x:v>官方</x:v>
      </x:c>
      <x:c r="U412" s="2" t="str">
        <x:v>高</x:v>
      </x:c>
      <x:c r="V412" s="27" t="str">
        <x:v>2025年4月入学 大学院情報理工学研究科（IE）入学者選抜状況</x:v>
      </x:c>
      <x:c r="W412" s="27" t="str">
        <x:v>p.1《博士前期課程》一般入試・情報・ネットワーク工学専攻行</x:v>
      </x:c>
      <x:c r="X412" s="27" t="str">
        <x:v>https://www.uec.ac.jp/education/graduate/admission/pdf/ie2025.pdf</x:v>
      </x:c>
      <x:c r="Y412" s="27" t="str">
        <x:v>専攻別の公式値。社会人入試の募集人員は「若干名」のため capacity=null。</x:v>
      </x:c>
      <x:c r="Z412" s="47" t="str">
        <x:v>PDFの「志願者数・受験者数・合格者数・入学者数」を転記。</x:v>
      </x:c>
    </x:row>
    <x:row r="413" ht="38" customHeight="1">
      <x:c r="A413" s="2" t="str">
        <x:v>電気通信大学</x:v>
      </x:c>
      <x:c r="B413" s="2" t="str">
        <x:v>情報理工学研究科</x:v>
      </x:c>
      <x:c r="C413" s="2" t="str">
        <x:v>情報・ネットワーク工学専攻</x:v>
      </x:c>
      <x:c r="D413" s="44" t="n">
        <x:v>2025</x:v>
      </x:c>
      <x:c r="E413" s="27" t="str">
        <x:v>全年合計</x:v>
      </x:c>
      <x:c r="F413" s="27" t="str">
        <x:v>博士前期課程</x:v>
      </x:c>
      <x:c r="G413" s="27" t="str">
        <x:v>推薦入試</x:v>
      </x:c>
      <x:c r="H413" s="27" t="str">
        <x:v>专攻/系</x:v>
      </x:c>
      <x:c r="I413" s="44" t="n">
        <x:v>60</x:v>
      </x:c>
      <x:c r="J413" s="44" t="n">
        <x:v>80</x:v>
      </x:c>
      <x:c r="K413" s="44" t="n">
        <x:v>80</x:v>
      </x:c>
      <x:c r="L413" s="44" t="n">
        <x:v>78</x:v>
      </x:c>
      <x:c r="M413" s="44" t="n">
        <x:v>75</x:v>
      </x:c>
      <x:c r="N413" s="45" t="n">
        <x:f>IF(AND(J413&lt;&gt;"",L413&lt;&gt;0),J413/L413,"")</x:f>
        <x:v>1.0256410256410255</x:v>
      </x:c>
      <x:c r="O413" s="45" t="n">
        <x:f>IF(AND(K413&lt;&gt;"",L413&lt;&gt;0),K413/L413,"")</x:f>
        <x:v>1.0256410256410255</x:v>
      </x:c>
      <x:c r="P413" s="46" t="n">
        <x:f>IF(AND(K413&lt;&gt;"",K413&lt;&gt;0,L413&lt;&gt;""),L413/K413,"")</x:f>
        <x:v>0.975</x:v>
      </x:c>
      <x:c r="Q413" s="46" t="n">
        <x:f>IF(AND(L413&lt;&gt;"",L413&lt;&gt;0,M413&lt;&gt;""),M413/L413,"")</x:f>
        <x:v>0.9615384615384616</x:v>
      </x:c>
      <x:c r="R413" s="45" t="n">
        <x:f>IF(N413&lt;&gt;"",N413,IF(O413&lt;&gt;"",O413,""))</x:f>
        <x:v>1.0256410256410255</x:v>
      </x:c>
      <x:c r="S413" s="2" t="str">
        <x:f>IF(N413&lt;&gt;"","志愿/合格",IF(O413&lt;&gt;"","受验/合格",""))</x:f>
        <x:v>志愿/合格</x:v>
      </x:c>
      <x:c r="T413" s="2" t="str">
        <x:v>官方</x:v>
      </x:c>
      <x:c r="U413" s="2" t="str">
        <x:v>高</x:v>
      </x:c>
      <x:c r="V413" s="27" t="str">
        <x:v>2025年4月入学 大学院情報理工学研究科（IE）入学者選抜状況</x:v>
      </x:c>
      <x:c r="W413" s="27" t="str">
        <x:v>p.1《博士前期課程》推薦入試・情報・ネットワーク工学専攻行</x:v>
      </x:c>
      <x:c r="X413" s="27" t="str">
        <x:v>https://www.uec.ac.jp/education/graduate/admission/pdf/ie2025.pdf</x:v>
      </x:c>
      <x:c r="Y413" s="27" t="str">
        <x:v>専攻別の公式値。社会人入試の募集人員は「若干名」のため capacity=null。</x:v>
      </x:c>
      <x:c r="Z413" s="47" t="str">
        <x:v>PDFの「志願者数・受験者数・合格者数・入学者数」を転記。</x:v>
      </x:c>
    </x:row>
    <x:row r="414" ht="38" customHeight="1">
      <x:c r="A414" s="2" t="str">
        <x:v>電気通信大学</x:v>
      </x:c>
      <x:c r="B414" s="2" t="str">
        <x:v>情報理工学研究科</x:v>
      </x:c>
      <x:c r="C414" s="2" t="str">
        <x:v>情報・ネットワーク工学専攻</x:v>
      </x:c>
      <x:c r="D414" s="44" t="n">
        <x:v>2025</x:v>
      </x:c>
      <x:c r="E414" s="27" t="str">
        <x:v>全年合計</x:v>
      </x:c>
      <x:c r="F414" s="27" t="str">
        <x:v>博士前期課程</x:v>
      </x:c>
      <x:c r="G414" s="27" t="str">
        <x:v>社会人入試</x:v>
      </x:c>
      <x:c r="H414" s="27" t="str">
        <x:v>专攻/系</x:v>
      </x:c>
      <x:c r="I414" s="44"/>
      <x:c r="J414" s="44" t="n">
        <x:v>2</x:v>
      </x:c>
      <x:c r="K414" s="44" t="n">
        <x:v>2</x:v>
      </x:c>
      <x:c r="L414" s="44" t="n">
        <x:v>2</x:v>
      </x:c>
      <x:c r="M414" s="44" t="n">
        <x:v>2</x:v>
      </x:c>
      <x:c r="N414" s="45" t="n">
        <x:f>IF(AND(J414&lt;&gt;"",L414&lt;&gt;0),J414/L414,"")</x:f>
        <x:v>1</x:v>
      </x:c>
      <x:c r="O414" s="45" t="n">
        <x:f>IF(AND(K414&lt;&gt;"",L414&lt;&gt;0),K414/L414,"")</x:f>
        <x:v>1</x:v>
      </x:c>
      <x:c r="P414" s="46" t="n">
        <x:f>IF(AND(K414&lt;&gt;"",K414&lt;&gt;0,L414&lt;&gt;""),L414/K414,"")</x:f>
        <x:v>1</x:v>
      </x:c>
      <x:c r="Q414" s="46" t="n">
        <x:f>IF(AND(L414&lt;&gt;"",L414&lt;&gt;0,M414&lt;&gt;""),M414/L414,"")</x:f>
        <x:v>1</x:v>
      </x:c>
      <x:c r="R414" s="45" t="n">
        <x:f>IF(N414&lt;&gt;"",N414,IF(O414&lt;&gt;"",O414,""))</x:f>
        <x:v>1</x:v>
      </x:c>
      <x:c r="S414" s="2" t="str">
        <x:f>IF(N414&lt;&gt;"","志愿/合格",IF(O414&lt;&gt;"","受验/合格",""))</x:f>
        <x:v>志愿/合格</x:v>
      </x:c>
      <x:c r="T414" s="2" t="str">
        <x:v>官方</x:v>
      </x:c>
      <x:c r="U414" s="2" t="str">
        <x:v>高</x:v>
      </x:c>
      <x:c r="V414" s="27" t="str">
        <x:v>2025年4月入学 大学院情報理工学研究科（IE）入学者選抜状況</x:v>
      </x:c>
      <x:c r="W414" s="27" t="str">
        <x:v>p.1《博士前期課程》社会人入試・情報・ネットワーク工学専攻行</x:v>
      </x:c>
      <x:c r="X414" s="27" t="str">
        <x:v>https://www.uec.ac.jp/education/graduate/admission/pdf/ie2025.pdf</x:v>
      </x:c>
      <x:c r="Y414" s="27" t="str">
        <x:v>専攻別の公式値。社会人入試の募集人員は「若干名」のため capacity=null。</x:v>
      </x:c>
      <x:c r="Z414" s="47" t="str">
        <x:v>PDFの「志願者数・受験者数・合格者数・入学者数」を転記。</x:v>
      </x:c>
    </x:row>
    <x:row r="415" ht="38" customHeight="1">
      <x:c r="A415" s="2" t="str">
        <x:v>電気通信大学</x:v>
      </x:c>
      <x:c r="B415" s="2" t="str">
        <x:v>情報理工学研究科</x:v>
      </x:c>
      <x:c r="C415" s="2" t="str">
        <x:v>情報・ネットワーク工学専攻</x:v>
      </x:c>
      <x:c r="D415" s="44" t="n">
        <x:v>2026</x:v>
      </x:c>
      <x:c r="E415" s="27" t="str">
        <x:v>全年合計</x:v>
      </x:c>
      <x:c r="F415" s="27" t="str">
        <x:v>博士前期課程</x:v>
      </x:c>
      <x:c r="G415" s="27" t="str">
        <x:v>一般入試</x:v>
      </x:c>
      <x:c r="H415" s="27" t="str">
        <x:v>专攻/系</x:v>
      </x:c>
      <x:c r="I415" s="44" t="n">
        <x:v>90</x:v>
      </x:c>
      <x:c r="J415" s="44" t="n">
        <x:v>185</x:v>
      </x:c>
      <x:c r="K415" s="44" t="n">
        <x:v>175</x:v>
      </x:c>
      <x:c r="L415" s="44" t="n">
        <x:v>105</x:v>
      </x:c>
      <x:c r="M415" s="44" t="n">
        <x:v>90</x:v>
      </x:c>
      <x:c r="N415" s="45" t="n">
        <x:f>IF(AND(J415&lt;&gt;"",L415&lt;&gt;0),J415/L415,"")</x:f>
        <x:v>1.7619047619047619</x:v>
      </x:c>
      <x:c r="O415" s="45" t="n">
        <x:f>IF(AND(K415&lt;&gt;"",L415&lt;&gt;0),K415/L415,"")</x:f>
        <x:v>1.6666666666666667</x:v>
      </x:c>
      <x:c r="P415" s="46" t="n">
        <x:f>IF(AND(K415&lt;&gt;"",K415&lt;&gt;0,L415&lt;&gt;""),L415/K415,"")</x:f>
        <x:v>0.6</x:v>
      </x:c>
      <x:c r="Q415" s="46" t="n">
        <x:f>IF(AND(L415&lt;&gt;"",L415&lt;&gt;0,M415&lt;&gt;""),M415/L415,"")</x:f>
        <x:v>0.8571428571428571</x:v>
      </x:c>
      <x:c r="R415" s="45" t="n">
        <x:f>IF(N415&lt;&gt;"",N415,IF(O415&lt;&gt;"",O415,""))</x:f>
        <x:v>1.7619047619047619</x:v>
      </x:c>
      <x:c r="S415" s="2" t="str">
        <x:f>IF(N415&lt;&gt;"","志愿/合格",IF(O415&lt;&gt;"","受验/合格",""))</x:f>
        <x:v>志愿/合格</x:v>
      </x:c>
      <x:c r="T415" s="2" t="str">
        <x:v>官方</x:v>
      </x:c>
      <x:c r="U415" s="2" t="str">
        <x:v>高</x:v>
      </x:c>
      <x:c r="V415" s="27" t="str">
        <x:v>2026年4月入学 大学院情報理工学研究科（IE）入学者選抜状況</x:v>
      </x:c>
      <x:c r="W415" s="27" t="str">
        <x:v>p.1《博士前期課程》一般入試・情報・ネットワーク工学専攻行</x:v>
      </x:c>
      <x:c r="X415" s="27" t="str">
        <x:v>https://www.uec.ac.jp/education/graduate/admission/pdf/ie2026.pdf</x:v>
      </x:c>
      <x:c r="Y415" s="27" t="str">
        <x:v>専攻別の公式値。社会人入試の募集人員は「若干名」のため capacity=null。</x:v>
      </x:c>
      <x:c r="Z415" s="47" t="str">
        <x:v>PDFの「志願者数・受験者数・合格者数・入学者数」を転記。</x:v>
      </x:c>
    </x:row>
    <x:row r="416" ht="38" customHeight="1">
      <x:c r="A416" s="2" t="str">
        <x:v>電気通信大学</x:v>
      </x:c>
      <x:c r="B416" s="2" t="str">
        <x:v>情報理工学研究科</x:v>
      </x:c>
      <x:c r="C416" s="2" t="str">
        <x:v>情報・ネットワーク工学専攻</x:v>
      </x:c>
      <x:c r="D416" s="44" t="n">
        <x:v>2026</x:v>
      </x:c>
      <x:c r="E416" s="27" t="str">
        <x:v>全年合計</x:v>
      </x:c>
      <x:c r="F416" s="27" t="str">
        <x:v>博士前期課程</x:v>
      </x:c>
      <x:c r="G416" s="27" t="str">
        <x:v>推薦入試</x:v>
      </x:c>
      <x:c r="H416" s="27" t="str">
        <x:v>专攻/系</x:v>
      </x:c>
      <x:c r="I416" s="44" t="n">
        <x:v>60</x:v>
      </x:c>
      <x:c r="J416" s="44" t="n">
        <x:v>76</x:v>
      </x:c>
      <x:c r="K416" s="44" t="n">
        <x:v>75</x:v>
      </x:c>
      <x:c r="L416" s="44" t="n">
        <x:v>74</x:v>
      </x:c>
      <x:c r="M416" s="44" t="n">
        <x:v>74</x:v>
      </x:c>
      <x:c r="N416" s="45" t="n">
        <x:f>IF(AND(J416&lt;&gt;"",L416&lt;&gt;0),J416/L416,"")</x:f>
        <x:v>1.027027027027027</x:v>
      </x:c>
      <x:c r="O416" s="45" t="n">
        <x:f>IF(AND(K416&lt;&gt;"",L416&lt;&gt;0),K416/L416,"")</x:f>
        <x:v>1.0135135135135136</x:v>
      </x:c>
      <x:c r="P416" s="46" t="n">
        <x:f>IF(AND(K416&lt;&gt;"",K416&lt;&gt;0,L416&lt;&gt;""),L416/K416,"")</x:f>
        <x:v>0.9866666666666667</x:v>
      </x:c>
      <x:c r="Q416" s="46" t="n">
        <x:f>IF(AND(L416&lt;&gt;"",L416&lt;&gt;0,M416&lt;&gt;""),M416/L416,"")</x:f>
        <x:v>1</x:v>
      </x:c>
      <x:c r="R416" s="45" t="n">
        <x:f>IF(N416&lt;&gt;"",N416,IF(O416&lt;&gt;"",O416,""))</x:f>
        <x:v>1.027027027027027</x:v>
      </x:c>
      <x:c r="S416" s="2" t="str">
        <x:f>IF(N416&lt;&gt;"","志愿/合格",IF(O416&lt;&gt;"","受验/合格",""))</x:f>
        <x:v>志愿/合格</x:v>
      </x:c>
      <x:c r="T416" s="2" t="str">
        <x:v>官方</x:v>
      </x:c>
      <x:c r="U416" s="2" t="str">
        <x:v>高</x:v>
      </x:c>
      <x:c r="V416" s="27" t="str">
        <x:v>2026年4月入学 大学院情報理工学研究科（IE）入学者選抜状況</x:v>
      </x:c>
      <x:c r="W416" s="27" t="str">
        <x:v>p.1《博士前期課程》推薦入試・情報・ネットワーク工学専攻行</x:v>
      </x:c>
      <x:c r="X416" s="27" t="str">
        <x:v>https://www.uec.ac.jp/education/graduate/admission/pdf/ie2026.pdf</x:v>
      </x:c>
      <x:c r="Y416" s="27" t="str">
        <x:v>専攻別の公式値。社会人入試の募集人員は「若干名」のため capacity=null。</x:v>
      </x:c>
      <x:c r="Z416" s="47" t="str">
        <x:v>PDFの「志願者数・受験者数・合格者数・入学者数」を転記。</x:v>
      </x:c>
    </x:row>
    <x:row r="417" ht="38" customHeight="1">
      <x:c r="A417" s="2" t="str">
        <x:v>電気通信大学</x:v>
      </x:c>
      <x:c r="B417" s="2" t="str">
        <x:v>情報理工学研究科</x:v>
      </x:c>
      <x:c r="C417" s="2" t="str">
        <x:v>情報・ネットワーク工学専攻</x:v>
      </x:c>
      <x:c r="D417" s="44" t="n">
        <x:v>2026</x:v>
      </x:c>
      <x:c r="E417" s="27" t="str">
        <x:v>全年合計</x:v>
      </x:c>
      <x:c r="F417" s="27" t="str">
        <x:v>博士前期課程</x:v>
      </x:c>
      <x:c r="G417" s="27" t="str">
        <x:v>社会人入試</x:v>
      </x:c>
      <x:c r="H417" s="27" t="str">
        <x:v>专攻/系</x:v>
      </x:c>
      <x:c r="I417" s="44"/>
      <x:c r="J417" s="44" t="n">
        <x:v>2</x:v>
      </x:c>
      <x:c r="K417" s="44" t="n">
        <x:v>2</x:v>
      </x:c>
      <x:c r="L417" s="44" t="n">
        <x:v>2</x:v>
      </x:c>
      <x:c r="M417" s="44" t="n">
        <x:v>2</x:v>
      </x:c>
      <x:c r="N417" s="45" t="n">
        <x:f>IF(AND(J417&lt;&gt;"",L417&lt;&gt;0),J417/L417,"")</x:f>
        <x:v>1</x:v>
      </x:c>
      <x:c r="O417" s="45" t="n">
        <x:f>IF(AND(K417&lt;&gt;"",L417&lt;&gt;0),K417/L417,"")</x:f>
        <x:v>1</x:v>
      </x:c>
      <x:c r="P417" s="46" t="n">
        <x:f>IF(AND(K417&lt;&gt;"",K417&lt;&gt;0,L417&lt;&gt;""),L417/K417,"")</x:f>
        <x:v>1</x:v>
      </x:c>
      <x:c r="Q417" s="46" t="n">
        <x:f>IF(AND(L417&lt;&gt;"",L417&lt;&gt;0,M417&lt;&gt;""),M417/L417,"")</x:f>
        <x:v>1</x:v>
      </x:c>
      <x:c r="R417" s="45" t="n">
        <x:f>IF(N417&lt;&gt;"",N417,IF(O417&lt;&gt;"",O417,""))</x:f>
        <x:v>1</x:v>
      </x:c>
      <x:c r="S417" s="2" t="str">
        <x:f>IF(N417&lt;&gt;"","志愿/合格",IF(O417&lt;&gt;"","受验/合格",""))</x:f>
        <x:v>志愿/合格</x:v>
      </x:c>
      <x:c r="T417" s="2" t="str">
        <x:v>官方</x:v>
      </x:c>
      <x:c r="U417" s="2" t="str">
        <x:v>高</x:v>
      </x:c>
      <x:c r="V417" s="27" t="str">
        <x:v>2026年4月入学 大学院情報理工学研究科（IE）入学者選抜状況</x:v>
      </x:c>
      <x:c r="W417" s="27" t="str">
        <x:v>p.1《博士前期課程》社会人入試・情報・ネットワーク工学専攻行</x:v>
      </x:c>
      <x:c r="X417" s="27" t="str">
        <x:v>https://www.uec.ac.jp/education/graduate/admission/pdf/ie2026.pdf</x:v>
      </x:c>
      <x:c r="Y417" s="27" t="str">
        <x:v>専攻別の公式値。社会人入試の募集人員は「若干名」のため capacity=null。</x:v>
      </x:c>
      <x:c r="Z417" s="47" t="str">
        <x:v>PDFの「志願者数・受験者数・合格者数・入学者数」を転記。</x:v>
      </x:c>
    </x:row>
    <x:row r="418" ht="38" customHeight="1">
      <x:c r="A418" s="2" t="str">
        <x:v>電気通信大学</x:v>
      </x:c>
      <x:c r="B418" s="2" t="str">
        <x:v>情報理工学研究科</x:v>
      </x:c>
      <x:c r="C418" s="2" t="str">
        <x:v>情報学専攻</x:v>
      </x:c>
      <x:c r="D418" s="44" t="n">
        <x:v>2022</x:v>
      </x:c>
      <x:c r="E418" s="27" t="str">
        <x:v>全年合計</x:v>
      </x:c>
      <x:c r="F418" s="27" t="str">
        <x:v>博士前期課程</x:v>
      </x:c>
      <x:c r="G418" s="27" t="str">
        <x:v>一般入試</x:v>
      </x:c>
      <x:c r="H418" s="27" t="str">
        <x:v>专攻/系</x:v>
      </x:c>
      <x:c r="I418" s="44" t="n">
        <x:v>66</x:v>
      </x:c>
      <x:c r="J418" s="44" t="n">
        <x:v>130</x:v>
      </x:c>
      <x:c r="K418" s="44" t="n">
        <x:v>129</x:v>
      </x:c>
      <x:c r="L418" s="44" t="n">
        <x:v>82</x:v>
      </x:c>
      <x:c r="M418" s="44" t="n">
        <x:v>78</x:v>
      </x:c>
      <x:c r="N418" s="45" t="n">
        <x:f>IF(AND(J418&lt;&gt;"",L418&lt;&gt;0),J418/L418,"")</x:f>
        <x:v>1.5853658536585367</x:v>
      </x:c>
      <x:c r="O418" s="45" t="n">
        <x:f>IF(AND(K418&lt;&gt;"",L418&lt;&gt;0),K418/L418,"")</x:f>
        <x:v>1.5731707317073171</x:v>
      </x:c>
      <x:c r="P418" s="46" t="n">
        <x:f>IF(AND(K418&lt;&gt;"",K418&lt;&gt;0,L418&lt;&gt;""),L418/K418,"")</x:f>
        <x:v>0.6356589147286822</x:v>
      </x:c>
      <x:c r="Q418" s="46" t="n">
        <x:f>IF(AND(L418&lt;&gt;"",L418&lt;&gt;0,M418&lt;&gt;""),M418/L418,"")</x:f>
        <x:v>0.9512195121951219</x:v>
      </x:c>
      <x:c r="R418" s="45" t="n">
        <x:f>IF(N418&lt;&gt;"",N418,IF(O418&lt;&gt;"",O418,""))</x:f>
        <x:v>1.5853658536585367</x:v>
      </x:c>
      <x:c r="S418" s="2" t="str">
        <x:f>IF(N418&lt;&gt;"","志愿/合格",IF(O418&lt;&gt;"","受验/合格",""))</x:f>
        <x:v>志愿/合格</x:v>
      </x:c>
      <x:c r="T418" s="2" t="str">
        <x:v>官方</x:v>
      </x:c>
      <x:c r="U418" s="2" t="str">
        <x:v>高</x:v>
      </x:c>
      <x:c r="V418" s="27" t="str">
        <x:v>2022年4月入学 大学院情報理工学研究科（IE）入学者選抜状況</x:v>
      </x:c>
      <x:c r="W418" s="27" t="str">
        <x:v>p.1《博士前期課程》一般入試・情報学専攻行</x:v>
      </x:c>
      <x:c r="X418" s="27" t="str">
        <x:v>https://www.uec.ac.jp/education/graduate/admission/pdf/ie2022.pdf</x:v>
      </x:c>
      <x:c r="Y418" s="27" t="str">
        <x:v>専攻別の公式値。社会人入試の募集人員は「若干名」のため capacity=null。</x:v>
      </x:c>
      <x:c r="Z418" s="47" t="str">
        <x:v>PDFの「志願者数・受験者数・合格者数・入学者数」を転記。</x:v>
      </x:c>
    </x:row>
    <x:row r="419" ht="38" customHeight="1">
      <x:c r="A419" s="2" t="str">
        <x:v>電気通信大学</x:v>
      </x:c>
      <x:c r="B419" s="2" t="str">
        <x:v>情報理工学研究科</x:v>
      </x:c>
      <x:c r="C419" s="2" t="str">
        <x:v>情報学専攻</x:v>
      </x:c>
      <x:c r="D419" s="44" t="n">
        <x:v>2022</x:v>
      </x:c>
      <x:c r="E419" s="27" t="str">
        <x:v>全年合計</x:v>
      </x:c>
      <x:c r="F419" s="27" t="str">
        <x:v>博士前期課程</x:v>
      </x:c>
      <x:c r="G419" s="27" t="str">
        <x:v>推薦入試</x:v>
      </x:c>
      <x:c r="H419" s="27" t="str">
        <x:v>专攻/系</x:v>
      </x:c>
      <x:c r="I419" s="44" t="n">
        <x:v>44</x:v>
      </x:c>
      <x:c r="J419" s="44" t="n">
        <x:v>65</x:v>
      </x:c>
      <x:c r="K419" s="44" t="n">
        <x:v>64</x:v>
      </x:c>
      <x:c r="L419" s="44" t="n">
        <x:v>61</x:v>
      </x:c>
      <x:c r="M419" s="44" t="n">
        <x:v>60</x:v>
      </x:c>
      <x:c r="N419" s="45" t="n">
        <x:f>IF(AND(J419&lt;&gt;"",L419&lt;&gt;0),J419/L419,"")</x:f>
        <x:v>1.0655737704918034</x:v>
      </x:c>
      <x:c r="O419" s="45" t="n">
        <x:f>IF(AND(K419&lt;&gt;"",L419&lt;&gt;0),K419/L419,"")</x:f>
        <x:v>1.0491803278688525</x:v>
      </x:c>
      <x:c r="P419" s="46" t="n">
        <x:f>IF(AND(K419&lt;&gt;"",K419&lt;&gt;0,L419&lt;&gt;""),L419/K419,"")</x:f>
        <x:v>0.953125</x:v>
      </x:c>
      <x:c r="Q419" s="46" t="n">
        <x:f>IF(AND(L419&lt;&gt;"",L419&lt;&gt;0,M419&lt;&gt;""),M419/L419,"")</x:f>
        <x:v>0.9836065573770492</x:v>
      </x:c>
      <x:c r="R419" s="45" t="n">
        <x:f>IF(N419&lt;&gt;"",N419,IF(O419&lt;&gt;"",O419,""))</x:f>
        <x:v>1.0655737704918034</x:v>
      </x:c>
      <x:c r="S419" s="2" t="str">
        <x:f>IF(N419&lt;&gt;"","志愿/合格",IF(O419&lt;&gt;"","受验/合格",""))</x:f>
        <x:v>志愿/合格</x:v>
      </x:c>
      <x:c r="T419" s="2" t="str">
        <x:v>官方</x:v>
      </x:c>
      <x:c r="U419" s="2" t="str">
        <x:v>高</x:v>
      </x:c>
      <x:c r="V419" s="27" t="str">
        <x:v>2022年4月入学 大学院情報理工学研究科（IE）入学者選抜状況</x:v>
      </x:c>
      <x:c r="W419" s="27" t="str">
        <x:v>p.1《博士前期課程》推薦入試・情報学専攻行</x:v>
      </x:c>
      <x:c r="X419" s="27" t="str">
        <x:v>https://www.uec.ac.jp/education/graduate/admission/pdf/ie2022.pdf</x:v>
      </x:c>
      <x:c r="Y419" s="27" t="str">
        <x:v>専攻別の公式値。社会人入試の募集人員は「若干名」のため capacity=null。</x:v>
      </x:c>
      <x:c r="Z419" s="47" t="str">
        <x:v>PDFの「志願者数・受験者数・合格者数・入学者数」を転記。</x:v>
      </x:c>
    </x:row>
    <x:row r="420" ht="38" customHeight="1">
      <x:c r="A420" s="2" t="str">
        <x:v>電気通信大学</x:v>
      </x:c>
      <x:c r="B420" s="2" t="str">
        <x:v>情報理工学研究科</x:v>
      </x:c>
      <x:c r="C420" s="2" t="str">
        <x:v>情報学専攻</x:v>
      </x:c>
      <x:c r="D420" s="44" t="n">
        <x:v>2022</x:v>
      </x:c>
      <x:c r="E420" s="27" t="str">
        <x:v>全年合計</x:v>
      </x:c>
      <x:c r="F420" s="27" t="str">
        <x:v>博士前期課程</x:v>
      </x:c>
      <x:c r="G420" s="27" t="str">
        <x:v>社会人入試</x:v>
      </x:c>
      <x:c r="H420" s="27" t="str">
        <x:v>专攻/系</x:v>
      </x:c>
      <x:c r="I420" s="44"/>
      <x:c r="J420" s="44" t="n">
        <x:v>1</x:v>
      </x:c>
      <x:c r="K420" s="44" t="n">
        <x:v>1</x:v>
      </x:c>
      <x:c r="L420" s="44" t="n">
        <x:v>1</x:v>
      </x:c>
      <x:c r="M420" s="44" t="n">
        <x:v>1</x:v>
      </x:c>
      <x:c r="N420" s="45" t="n">
        <x:f>IF(AND(J420&lt;&gt;"",L420&lt;&gt;0),J420/L420,"")</x:f>
        <x:v>1</x:v>
      </x:c>
      <x:c r="O420" s="45" t="n">
        <x:f>IF(AND(K420&lt;&gt;"",L420&lt;&gt;0),K420/L420,"")</x:f>
        <x:v>1</x:v>
      </x:c>
      <x:c r="P420" s="46" t="n">
        <x:f>IF(AND(K420&lt;&gt;"",K420&lt;&gt;0,L420&lt;&gt;""),L420/K420,"")</x:f>
        <x:v>1</x:v>
      </x:c>
      <x:c r="Q420" s="46" t="n">
        <x:f>IF(AND(L420&lt;&gt;"",L420&lt;&gt;0,M420&lt;&gt;""),M420/L420,"")</x:f>
        <x:v>1</x:v>
      </x:c>
      <x:c r="R420" s="45" t="n">
        <x:f>IF(N420&lt;&gt;"",N420,IF(O420&lt;&gt;"",O420,""))</x:f>
        <x:v>1</x:v>
      </x:c>
      <x:c r="S420" s="2" t="str">
        <x:f>IF(N420&lt;&gt;"","志愿/合格",IF(O420&lt;&gt;"","受验/合格",""))</x:f>
        <x:v>志愿/合格</x:v>
      </x:c>
      <x:c r="T420" s="2" t="str">
        <x:v>官方</x:v>
      </x:c>
      <x:c r="U420" s="2" t="str">
        <x:v>高</x:v>
      </x:c>
      <x:c r="V420" s="27" t="str">
        <x:v>2022年4月入学 大学院情報理工学研究科（IE）入学者選抜状況</x:v>
      </x:c>
      <x:c r="W420" s="27" t="str">
        <x:v>p.1《博士前期課程》社会人入試・情報学専攻行</x:v>
      </x:c>
      <x:c r="X420" s="27" t="str">
        <x:v>https://www.uec.ac.jp/education/graduate/admission/pdf/ie2022.pdf</x:v>
      </x:c>
      <x:c r="Y420" s="27" t="str">
        <x:v>専攻別の公式値。社会人入試の募集人員は「若干名」のため capacity=null。</x:v>
      </x:c>
      <x:c r="Z420" s="47" t="str">
        <x:v>PDFの「志願者数・受験者数・合格者数・入学者数」を転記。</x:v>
      </x:c>
    </x:row>
    <x:row r="421" ht="38" customHeight="1">
      <x:c r="A421" s="2" t="str">
        <x:v>電気通信大学</x:v>
      </x:c>
      <x:c r="B421" s="2" t="str">
        <x:v>情報理工学研究科</x:v>
      </x:c>
      <x:c r="C421" s="2" t="str">
        <x:v>情報学専攻</x:v>
      </x:c>
      <x:c r="D421" s="44" t="n">
        <x:v>2023</x:v>
      </x:c>
      <x:c r="E421" s="27" t="str">
        <x:v>全年合計</x:v>
      </x:c>
      <x:c r="F421" s="27" t="str">
        <x:v>博士前期課程</x:v>
      </x:c>
      <x:c r="G421" s="27" t="str">
        <x:v>一般入試</x:v>
      </x:c>
      <x:c r="H421" s="27" t="str">
        <x:v>专攻/系</x:v>
      </x:c>
      <x:c r="I421" s="44" t="n">
        <x:v>66</x:v>
      </x:c>
      <x:c r="J421" s="44" t="n">
        <x:v>133</x:v>
      </x:c>
      <x:c r="K421" s="44" t="n">
        <x:v>133</x:v>
      </x:c>
      <x:c r="L421" s="44" t="n">
        <x:v>86</x:v>
      </x:c>
      <x:c r="M421" s="44" t="n">
        <x:v>77</x:v>
      </x:c>
      <x:c r="N421" s="45" t="n">
        <x:f>IF(AND(J421&lt;&gt;"",L421&lt;&gt;0),J421/L421,"")</x:f>
        <x:v>1.5465116279069768</x:v>
      </x:c>
      <x:c r="O421" s="45" t="n">
        <x:f>IF(AND(K421&lt;&gt;"",L421&lt;&gt;0),K421/L421,"")</x:f>
        <x:v>1.5465116279069768</x:v>
      </x:c>
      <x:c r="P421" s="46" t="n">
        <x:f>IF(AND(K421&lt;&gt;"",K421&lt;&gt;0,L421&lt;&gt;""),L421/K421,"")</x:f>
        <x:v>0.6466165413533834</x:v>
      </x:c>
      <x:c r="Q421" s="46" t="n">
        <x:f>IF(AND(L421&lt;&gt;"",L421&lt;&gt;0,M421&lt;&gt;""),M421/L421,"")</x:f>
        <x:v>0.8953488372093024</x:v>
      </x:c>
      <x:c r="R421" s="45" t="n">
        <x:f>IF(N421&lt;&gt;"",N421,IF(O421&lt;&gt;"",O421,""))</x:f>
        <x:v>1.5465116279069768</x:v>
      </x:c>
      <x:c r="S421" s="2" t="str">
        <x:f>IF(N421&lt;&gt;"","志愿/合格",IF(O421&lt;&gt;"","受验/合格",""))</x:f>
        <x:v>志愿/合格</x:v>
      </x:c>
      <x:c r="T421" s="2" t="str">
        <x:v>官方</x:v>
      </x:c>
      <x:c r="U421" s="2" t="str">
        <x:v>高</x:v>
      </x:c>
      <x:c r="V421" s="27" t="str">
        <x:v>2023年4月入学 大学院情報理工学研究科（IE）入学者選抜状況</x:v>
      </x:c>
      <x:c r="W421" s="27" t="str">
        <x:v>p.1《博士前期課程》一般入試・情報学専攻行</x:v>
      </x:c>
      <x:c r="X421" s="27" t="str">
        <x:v>https://www.uec.ac.jp/education/graduate/admission/pdf/ie2023.pdf</x:v>
      </x:c>
      <x:c r="Y421" s="27" t="str">
        <x:v>専攻別の公式値。社会人入試の募集人員は「若干名」のため capacity=null。</x:v>
      </x:c>
      <x:c r="Z421" s="47" t="str">
        <x:v>PDFの「志願者数・受験者数・合格者数・入学者数」を転記。</x:v>
      </x:c>
    </x:row>
    <x:row r="422" ht="38" customHeight="1">
      <x:c r="A422" s="2" t="str">
        <x:v>電気通信大学</x:v>
      </x:c>
      <x:c r="B422" s="2" t="str">
        <x:v>情報理工学研究科</x:v>
      </x:c>
      <x:c r="C422" s="2" t="str">
        <x:v>情報学専攻</x:v>
      </x:c>
      <x:c r="D422" s="44" t="n">
        <x:v>2023</x:v>
      </x:c>
      <x:c r="E422" s="27" t="str">
        <x:v>全年合計</x:v>
      </x:c>
      <x:c r="F422" s="27" t="str">
        <x:v>博士前期課程</x:v>
      </x:c>
      <x:c r="G422" s="27" t="str">
        <x:v>推薦入試</x:v>
      </x:c>
      <x:c r="H422" s="27" t="str">
        <x:v>专攻/系</x:v>
      </x:c>
      <x:c r="I422" s="44" t="n">
        <x:v>44</x:v>
      </x:c>
      <x:c r="J422" s="44" t="n">
        <x:v>64</x:v>
      </x:c>
      <x:c r="K422" s="44" t="n">
        <x:v>63</x:v>
      </x:c>
      <x:c r="L422" s="44" t="n">
        <x:v>56</x:v>
      </x:c>
      <x:c r="M422" s="44" t="n">
        <x:v>55</x:v>
      </x:c>
      <x:c r="N422" s="45" t="n">
        <x:f>IF(AND(J422&lt;&gt;"",L422&lt;&gt;0),J422/L422,"")</x:f>
        <x:v>1.1428571428571428</x:v>
      </x:c>
      <x:c r="O422" s="45" t="n">
        <x:f>IF(AND(K422&lt;&gt;"",L422&lt;&gt;0),K422/L422,"")</x:f>
        <x:v>1.125</x:v>
      </x:c>
      <x:c r="P422" s="46" t="n">
        <x:f>IF(AND(K422&lt;&gt;"",K422&lt;&gt;0,L422&lt;&gt;""),L422/K422,"")</x:f>
        <x:v>0.8888888888888888</x:v>
      </x:c>
      <x:c r="Q422" s="46" t="n">
        <x:f>IF(AND(L422&lt;&gt;"",L422&lt;&gt;0,M422&lt;&gt;""),M422/L422,"")</x:f>
        <x:v>0.9821428571428571</x:v>
      </x:c>
      <x:c r="R422" s="45" t="n">
        <x:f>IF(N422&lt;&gt;"",N422,IF(O422&lt;&gt;"",O422,""))</x:f>
        <x:v>1.1428571428571428</x:v>
      </x:c>
      <x:c r="S422" s="2" t="str">
        <x:f>IF(N422&lt;&gt;"","志愿/合格",IF(O422&lt;&gt;"","受验/合格",""))</x:f>
        <x:v>志愿/合格</x:v>
      </x:c>
      <x:c r="T422" s="2" t="str">
        <x:v>官方</x:v>
      </x:c>
      <x:c r="U422" s="2" t="str">
        <x:v>高</x:v>
      </x:c>
      <x:c r="V422" s="27" t="str">
        <x:v>2023年4月入学 大学院情報理工学研究科（IE）入学者選抜状況</x:v>
      </x:c>
      <x:c r="W422" s="27" t="str">
        <x:v>p.1《博士前期課程》推薦入試・情報学専攻行</x:v>
      </x:c>
      <x:c r="X422" s="27" t="str">
        <x:v>https://www.uec.ac.jp/education/graduate/admission/pdf/ie2023.pdf</x:v>
      </x:c>
      <x:c r="Y422" s="27" t="str">
        <x:v>専攻別の公式値。社会人入試の募集人員は「若干名」のため capacity=null。</x:v>
      </x:c>
      <x:c r="Z422" s="47" t="str">
        <x:v>PDFの「志願者数・受験者数・合格者数・入学者数」を転記。</x:v>
      </x:c>
    </x:row>
    <x:row r="423" ht="38" customHeight="1">
      <x:c r="A423" s="2" t="str">
        <x:v>電気通信大学</x:v>
      </x:c>
      <x:c r="B423" s="2" t="str">
        <x:v>情報理工学研究科</x:v>
      </x:c>
      <x:c r="C423" s="2" t="str">
        <x:v>情報学専攻</x:v>
      </x:c>
      <x:c r="D423" s="44" t="n">
        <x:v>2023</x:v>
      </x:c>
      <x:c r="E423" s="27" t="str">
        <x:v>全年合計</x:v>
      </x:c>
      <x:c r="F423" s="27" t="str">
        <x:v>博士前期課程</x:v>
      </x:c>
      <x:c r="G423" s="27" t="str">
        <x:v>社会人入試</x:v>
      </x:c>
      <x:c r="H423" s="27" t="str">
        <x:v>专攻/系</x:v>
      </x:c>
      <x:c r="I423" s="44"/>
      <x:c r="J423" s="44" t="n">
        <x:v>1</x:v>
      </x:c>
      <x:c r="K423" s="44" t="n">
        <x:v>1</x:v>
      </x:c>
      <x:c r="L423" s="44" t="n">
        <x:v>1</x:v>
      </x:c>
      <x:c r="M423" s="44" t="n">
        <x:v>1</x:v>
      </x:c>
      <x:c r="N423" s="45" t="n">
        <x:f>IF(AND(J423&lt;&gt;"",L423&lt;&gt;0),J423/L423,"")</x:f>
        <x:v>1</x:v>
      </x:c>
      <x:c r="O423" s="45" t="n">
        <x:f>IF(AND(K423&lt;&gt;"",L423&lt;&gt;0),K423/L423,"")</x:f>
        <x:v>1</x:v>
      </x:c>
      <x:c r="P423" s="46" t="n">
        <x:f>IF(AND(K423&lt;&gt;"",K423&lt;&gt;0,L423&lt;&gt;""),L423/K423,"")</x:f>
        <x:v>1</x:v>
      </x:c>
      <x:c r="Q423" s="46" t="n">
        <x:f>IF(AND(L423&lt;&gt;"",L423&lt;&gt;0,M423&lt;&gt;""),M423/L423,"")</x:f>
        <x:v>1</x:v>
      </x:c>
      <x:c r="R423" s="45" t="n">
        <x:f>IF(N423&lt;&gt;"",N423,IF(O423&lt;&gt;"",O423,""))</x:f>
        <x:v>1</x:v>
      </x:c>
      <x:c r="S423" s="2" t="str">
        <x:f>IF(N423&lt;&gt;"","志愿/合格",IF(O423&lt;&gt;"","受验/合格",""))</x:f>
        <x:v>志愿/合格</x:v>
      </x:c>
      <x:c r="T423" s="2" t="str">
        <x:v>官方</x:v>
      </x:c>
      <x:c r="U423" s="2" t="str">
        <x:v>高</x:v>
      </x:c>
      <x:c r="V423" s="27" t="str">
        <x:v>2023年4月入学 大学院情報理工学研究科（IE）入学者選抜状況</x:v>
      </x:c>
      <x:c r="W423" s="27" t="str">
        <x:v>p.1《博士前期課程》社会人入試・情報学専攻行</x:v>
      </x:c>
      <x:c r="X423" s="27" t="str">
        <x:v>https://www.uec.ac.jp/education/graduate/admission/pdf/ie2023.pdf</x:v>
      </x:c>
      <x:c r="Y423" s="27" t="str">
        <x:v>専攻別の公式値。社会人入試の募集人員は「若干名」のため capacity=null。</x:v>
      </x:c>
      <x:c r="Z423" s="47" t="str">
        <x:v>PDFの「志願者数・受験者数・合格者数・入学者数」を転記。</x:v>
      </x:c>
    </x:row>
    <x:row r="424" ht="38" customHeight="1">
      <x:c r="A424" s="2" t="str">
        <x:v>電気通信大学</x:v>
      </x:c>
      <x:c r="B424" s="2" t="str">
        <x:v>情報理工学研究科</x:v>
      </x:c>
      <x:c r="C424" s="2" t="str">
        <x:v>情報学専攻</x:v>
      </x:c>
      <x:c r="D424" s="44" t="n">
        <x:v>2023</x:v>
      </x:c>
      <x:c r="E424" s="27" t="str">
        <x:v>二次募集</x:v>
      </x:c>
      <x:c r="F424" s="27" t="str">
        <x:v>博士前期課程</x:v>
      </x:c>
      <x:c r="G424" s="27" t="str">
        <x:v>二次募集</x:v>
      </x:c>
      <x:c r="H424" s="27" t="str">
        <x:v>专攻/系</x:v>
      </x:c>
      <x:c r="I424" s="44" t="n">
        <x:v>10</x:v>
      </x:c>
      <x:c r="J424" s="44" t="n">
        <x:v>0</x:v>
      </x:c>
      <x:c r="K424" s="44" t="n">
        <x:v>0</x:v>
      </x:c>
      <x:c r="L424" s="44" t="n">
        <x:v>0</x:v>
      </x:c>
      <x:c r="M424" s="44" t="n">
        <x:v>0</x:v>
      </x:c>
      <x:c r="N424" s="45" t="str">
        <x:f>IF(AND(J424&lt;&gt;"",L424&lt;&gt;0),J424/L424,"")</x:f>
      </x:c>
      <x:c r="O424" s="45" t="str">
        <x:f>IF(AND(K424&lt;&gt;"",L424&lt;&gt;0),K424/L424,"")</x:f>
      </x:c>
      <x:c r="P424" s="46" t="str">
        <x:f>IF(AND(K424&lt;&gt;"",K424&lt;&gt;0,L424&lt;&gt;""),L424/K424,"")</x:f>
      </x:c>
      <x:c r="Q424" s="46" t="str">
        <x:f>IF(AND(L424&lt;&gt;"",L424&lt;&gt;0,M424&lt;&gt;""),M424/L424,"")</x:f>
      </x:c>
      <x:c r="R424" s="45" t="str">
        <x:f>IF(N424&lt;&gt;"",N424,IF(O424&lt;&gt;"",O424,""))</x:f>
      </x:c>
      <x:c r="S424" s="2" t="str">
        <x:f>IF(N424&lt;&gt;"","志愿/合格",IF(O424&lt;&gt;"","受验/合格",""))</x:f>
      </x:c>
      <x:c r="T424" s="2" t="str">
        <x:v>官方</x:v>
      </x:c>
      <x:c r="U424" s="2" t="str">
        <x:v>高</x:v>
      </x:c>
      <x:c r="V424" s="27" t="str">
        <x:v>2023年4月入学 大学院情報理工学研究科（IE）入学者選抜状況</x:v>
      </x:c>
      <x:c r="W424" s="27" t="str">
        <x:v>p.1《博士前期課程》二次募集・情報学専攻行</x:v>
      </x:c>
      <x:c r="X424" s="27" t="str">
        <x:v>https://www.uec.ac.jp/education/graduate/admission/pdf/ie2023.pdf</x:v>
      </x:c>
      <x:c r="Y424" s="27" t="str">
        <x:v>専攻別の公式値。</x:v>
      </x:c>
      <x:c r="Z424" s="47" t="str">
        <x:v>冬季相当の二次募集として別行掲載。</x:v>
      </x:c>
    </x:row>
    <x:row r="425" ht="38" customHeight="1">
      <x:c r="A425" s="2" t="str">
        <x:v>電気通信大学</x:v>
      </x:c>
      <x:c r="B425" s="2" t="str">
        <x:v>情報理工学研究科</x:v>
      </x:c>
      <x:c r="C425" s="2" t="str">
        <x:v>情報学専攻</x:v>
      </x:c>
      <x:c r="D425" s="44" t="n">
        <x:v>2024</x:v>
      </x:c>
      <x:c r="E425" s="27" t="str">
        <x:v>全年合計</x:v>
      </x:c>
      <x:c r="F425" s="27" t="str">
        <x:v>博士前期課程</x:v>
      </x:c>
      <x:c r="G425" s="27" t="str">
        <x:v>一般入試</x:v>
      </x:c>
      <x:c r="H425" s="27" t="str">
        <x:v>专攻/系</x:v>
      </x:c>
      <x:c r="I425" s="44" t="n">
        <x:v>78</x:v>
      </x:c>
      <x:c r="J425" s="44" t="n">
        <x:v>164</x:v>
      </x:c>
      <x:c r="K425" s="44" t="n">
        <x:v>155</x:v>
      </x:c>
      <x:c r="L425" s="44" t="n">
        <x:v>92</x:v>
      </x:c>
      <x:c r="M425" s="44" t="n">
        <x:v>80</x:v>
      </x:c>
      <x:c r="N425" s="45" t="n">
        <x:f>IF(AND(J425&lt;&gt;"",L425&lt;&gt;0),J425/L425,"")</x:f>
        <x:v>1.7826086956521738</x:v>
      </x:c>
      <x:c r="O425" s="45" t="n">
        <x:f>IF(AND(K425&lt;&gt;"",L425&lt;&gt;0),K425/L425,"")</x:f>
        <x:v>1.684782608695652</x:v>
      </x:c>
      <x:c r="P425" s="46" t="n">
        <x:f>IF(AND(K425&lt;&gt;"",K425&lt;&gt;0,L425&lt;&gt;""),L425/K425,"")</x:f>
        <x:v>0.5935483870967742</x:v>
      </x:c>
      <x:c r="Q425" s="46" t="n">
        <x:f>IF(AND(L425&lt;&gt;"",L425&lt;&gt;0,M425&lt;&gt;""),M425/L425,"")</x:f>
        <x:v>0.8695652173913043</x:v>
      </x:c>
      <x:c r="R425" s="45" t="n">
        <x:f>IF(N425&lt;&gt;"",N425,IF(O425&lt;&gt;"",O425,""))</x:f>
        <x:v>1.7826086956521738</x:v>
      </x:c>
      <x:c r="S425" s="2" t="str">
        <x:f>IF(N425&lt;&gt;"","志愿/合格",IF(O425&lt;&gt;"","受验/合格",""))</x:f>
        <x:v>志愿/合格</x:v>
      </x:c>
      <x:c r="T425" s="2" t="str">
        <x:v>官方</x:v>
      </x:c>
      <x:c r="U425" s="2" t="str">
        <x:v>高</x:v>
      </x:c>
      <x:c r="V425" s="27" t="str">
        <x:v>2024年4月入学 大学院情報理工学研究科（IE）入学者選抜状況</x:v>
      </x:c>
      <x:c r="W425" s="27" t="str">
        <x:v>p.1《博士前期課程》一般入試・情報学専攻行</x:v>
      </x:c>
      <x:c r="X425" s="27" t="str">
        <x:v>https://www.uec.ac.jp/education/graduate/admission/pdf/ie2024.pdf</x:v>
      </x:c>
      <x:c r="Y425" s="27" t="str">
        <x:v>専攻別の公式値。社会人入試の募集人員は「若干名」のため capacity=null。</x:v>
      </x:c>
      <x:c r="Z425" s="47" t="str">
        <x:v>PDFの「志願者数・受験者数・合格者数・入学者数」を転記。</x:v>
      </x:c>
    </x:row>
    <x:row r="426" ht="38" customHeight="1">
      <x:c r="A426" s="2" t="str">
        <x:v>電気通信大学</x:v>
      </x:c>
      <x:c r="B426" s="2" t="str">
        <x:v>情報理工学研究科</x:v>
      </x:c>
      <x:c r="C426" s="2" t="str">
        <x:v>情報学専攻</x:v>
      </x:c>
      <x:c r="D426" s="44" t="n">
        <x:v>2024</x:v>
      </x:c>
      <x:c r="E426" s="27" t="str">
        <x:v>全年合計</x:v>
      </x:c>
      <x:c r="F426" s="27" t="str">
        <x:v>博士前期課程</x:v>
      </x:c>
      <x:c r="G426" s="27" t="str">
        <x:v>推薦入試</x:v>
      </x:c>
      <x:c r="H426" s="27" t="str">
        <x:v>专攻/系</x:v>
      </x:c>
      <x:c r="I426" s="44" t="n">
        <x:v>52</x:v>
      </x:c>
      <x:c r="J426" s="44" t="n">
        <x:v>74</x:v>
      </x:c>
      <x:c r="K426" s="44" t="n">
        <x:v>74</x:v>
      </x:c>
      <x:c r="L426" s="44" t="n">
        <x:v>67</x:v>
      </x:c>
      <x:c r="M426" s="44" t="n">
        <x:v>66</x:v>
      </x:c>
      <x:c r="N426" s="45" t="n">
        <x:f>IF(AND(J426&lt;&gt;"",L426&lt;&gt;0),J426/L426,"")</x:f>
        <x:v>1.1044776119402986</x:v>
      </x:c>
      <x:c r="O426" s="45" t="n">
        <x:f>IF(AND(K426&lt;&gt;"",L426&lt;&gt;0),K426/L426,"")</x:f>
        <x:v>1.1044776119402986</x:v>
      </x:c>
      <x:c r="P426" s="46" t="n">
        <x:f>IF(AND(K426&lt;&gt;"",K426&lt;&gt;0,L426&lt;&gt;""),L426/K426,"")</x:f>
        <x:v>0.9054054054054054</x:v>
      </x:c>
      <x:c r="Q426" s="46" t="n">
        <x:f>IF(AND(L426&lt;&gt;"",L426&lt;&gt;0,M426&lt;&gt;""),M426/L426,"")</x:f>
        <x:v>0.9850746268656716</x:v>
      </x:c>
      <x:c r="R426" s="45" t="n">
        <x:f>IF(N426&lt;&gt;"",N426,IF(O426&lt;&gt;"",O426,""))</x:f>
        <x:v>1.1044776119402986</x:v>
      </x:c>
      <x:c r="S426" s="2" t="str">
        <x:f>IF(N426&lt;&gt;"","志愿/合格",IF(O426&lt;&gt;"","受验/合格",""))</x:f>
        <x:v>志愿/合格</x:v>
      </x:c>
      <x:c r="T426" s="2" t="str">
        <x:v>官方</x:v>
      </x:c>
      <x:c r="U426" s="2" t="str">
        <x:v>高</x:v>
      </x:c>
      <x:c r="V426" s="27" t="str">
        <x:v>2024年4月入学 大学院情報理工学研究科（IE）入学者選抜状況</x:v>
      </x:c>
      <x:c r="W426" s="27" t="str">
        <x:v>p.1《博士前期課程》推薦入試・情報学専攻行</x:v>
      </x:c>
      <x:c r="X426" s="27" t="str">
        <x:v>https://www.uec.ac.jp/education/graduate/admission/pdf/ie2024.pdf</x:v>
      </x:c>
      <x:c r="Y426" s="27" t="str">
        <x:v>専攻別の公式値。社会人入試の募集人員は「若干名」のため capacity=null。</x:v>
      </x:c>
      <x:c r="Z426" s="47" t="str">
        <x:v>PDFの「志願者数・受験者数・合格者数・入学者数」を転記。</x:v>
      </x:c>
    </x:row>
    <x:row r="427" ht="38" customHeight="1">
      <x:c r="A427" s="2" t="str">
        <x:v>電気通信大学</x:v>
      </x:c>
      <x:c r="B427" s="2" t="str">
        <x:v>情報理工学研究科</x:v>
      </x:c>
      <x:c r="C427" s="2" t="str">
        <x:v>情報学専攻</x:v>
      </x:c>
      <x:c r="D427" s="44" t="n">
        <x:v>2024</x:v>
      </x:c>
      <x:c r="E427" s="27" t="str">
        <x:v>全年合計</x:v>
      </x:c>
      <x:c r="F427" s="27" t="str">
        <x:v>博士前期課程</x:v>
      </x:c>
      <x:c r="G427" s="27" t="str">
        <x:v>社会人入試</x:v>
      </x:c>
      <x:c r="H427" s="27" t="str">
        <x:v>专攻/系</x:v>
      </x:c>
      <x:c r="I427" s="44"/>
      <x:c r="J427" s="44" t="n">
        <x:v>0</x:v>
      </x:c>
      <x:c r="K427" s="44" t="n">
        <x:v>0</x:v>
      </x:c>
      <x:c r="L427" s="44" t="n">
        <x:v>0</x:v>
      </x:c>
      <x:c r="M427" s="44" t="n">
        <x:v>0</x:v>
      </x:c>
      <x:c r="N427" s="45" t="str">
        <x:f>IF(AND(J427&lt;&gt;"",L427&lt;&gt;0),J427/L427,"")</x:f>
      </x:c>
      <x:c r="O427" s="45" t="str">
        <x:f>IF(AND(K427&lt;&gt;"",L427&lt;&gt;0),K427/L427,"")</x:f>
      </x:c>
      <x:c r="P427" s="46" t="str">
        <x:f>IF(AND(K427&lt;&gt;"",K427&lt;&gt;0,L427&lt;&gt;""),L427/K427,"")</x:f>
      </x:c>
      <x:c r="Q427" s="46" t="str">
        <x:f>IF(AND(L427&lt;&gt;"",L427&lt;&gt;0,M427&lt;&gt;""),M427/L427,"")</x:f>
      </x:c>
      <x:c r="R427" s="45" t="str">
        <x:f>IF(N427&lt;&gt;"",N427,IF(O427&lt;&gt;"",O427,""))</x:f>
      </x:c>
      <x:c r="S427" s="2" t="str">
        <x:f>IF(N427&lt;&gt;"","志愿/合格",IF(O427&lt;&gt;"","受验/合格",""))</x:f>
      </x:c>
      <x:c r="T427" s="2" t="str">
        <x:v>官方</x:v>
      </x:c>
      <x:c r="U427" s="2" t="str">
        <x:v>高</x:v>
      </x:c>
      <x:c r="V427" s="27" t="str">
        <x:v>2024年4月入学 大学院情報理工学研究科（IE）入学者選抜状況</x:v>
      </x:c>
      <x:c r="W427" s="27" t="str">
        <x:v>p.1《博士前期課程》社会人入試・情報学専攻行</x:v>
      </x:c>
      <x:c r="X427" s="27" t="str">
        <x:v>https://www.uec.ac.jp/education/graduate/admission/pdf/ie2024.pdf</x:v>
      </x:c>
      <x:c r="Y427" s="27" t="str">
        <x:v>専攻別の公式値。社会人入試の募集人員は「若干名」のため capacity=null。</x:v>
      </x:c>
      <x:c r="Z427" s="47" t="str">
        <x:v>PDFの「志願者数・受験者数・合格者数・入学者数」を転記。</x:v>
      </x:c>
    </x:row>
    <x:row r="428" ht="38" customHeight="1">
      <x:c r="A428" s="2" t="str">
        <x:v>電気通信大学</x:v>
      </x:c>
      <x:c r="B428" s="2" t="str">
        <x:v>情報理工学研究科</x:v>
      </x:c>
      <x:c r="C428" s="2" t="str">
        <x:v>情報学専攻</x:v>
      </x:c>
      <x:c r="D428" s="44" t="n">
        <x:v>2025</x:v>
      </x:c>
      <x:c r="E428" s="27" t="str">
        <x:v>全年合計</x:v>
      </x:c>
      <x:c r="F428" s="27" t="str">
        <x:v>博士前期課程</x:v>
      </x:c>
      <x:c r="G428" s="27" t="str">
        <x:v>一般入試</x:v>
      </x:c>
      <x:c r="H428" s="27" t="str">
        <x:v>专攻/系</x:v>
      </x:c>
      <x:c r="I428" s="44" t="n">
        <x:v>78</x:v>
      </x:c>
      <x:c r="J428" s="44" t="n">
        <x:v>169</x:v>
      </x:c>
      <x:c r="K428" s="44" t="n">
        <x:v>157</x:v>
      </x:c>
      <x:c r="L428" s="44" t="n">
        <x:v>86</x:v>
      </x:c>
      <x:c r="M428" s="44" t="n">
        <x:v>76</x:v>
      </x:c>
      <x:c r="N428" s="45" t="n">
        <x:f>IF(AND(J428&lt;&gt;"",L428&lt;&gt;0),J428/L428,"")</x:f>
        <x:v>1.9651162790697674</x:v>
      </x:c>
      <x:c r="O428" s="45" t="n">
        <x:f>IF(AND(K428&lt;&gt;"",L428&lt;&gt;0),K428/L428,"")</x:f>
        <x:v>1.8255813953488371</x:v>
      </x:c>
      <x:c r="P428" s="46" t="n">
        <x:f>IF(AND(K428&lt;&gt;"",K428&lt;&gt;0,L428&lt;&gt;""),L428/K428,"")</x:f>
        <x:v>0.5477707006369427</x:v>
      </x:c>
      <x:c r="Q428" s="46" t="n">
        <x:f>IF(AND(L428&lt;&gt;"",L428&lt;&gt;0,M428&lt;&gt;""),M428/L428,"")</x:f>
        <x:v>0.8837209302325582</x:v>
      </x:c>
      <x:c r="R428" s="45" t="n">
        <x:f>IF(N428&lt;&gt;"",N428,IF(O428&lt;&gt;"",O428,""))</x:f>
        <x:v>1.9651162790697674</x:v>
      </x:c>
      <x:c r="S428" s="2" t="str">
        <x:f>IF(N428&lt;&gt;"","志愿/合格",IF(O428&lt;&gt;"","受验/合格",""))</x:f>
        <x:v>志愿/合格</x:v>
      </x:c>
      <x:c r="T428" s="2" t="str">
        <x:v>官方</x:v>
      </x:c>
      <x:c r="U428" s="2" t="str">
        <x:v>高</x:v>
      </x:c>
      <x:c r="V428" s="27" t="str">
        <x:v>2025年4月入学 大学院情報理工学研究科（IE）入学者選抜状況</x:v>
      </x:c>
      <x:c r="W428" s="27" t="str">
        <x:v>p.1《博士前期課程》一般入試・情報学専攻行</x:v>
      </x:c>
      <x:c r="X428" s="27" t="str">
        <x:v>https://www.uec.ac.jp/education/graduate/admission/pdf/ie2025.pdf</x:v>
      </x:c>
      <x:c r="Y428" s="27" t="str">
        <x:v>専攻別の公式値。社会人入試の募集人員は「若干名」のため capacity=null。</x:v>
      </x:c>
      <x:c r="Z428" s="47" t="str">
        <x:v>PDFの「志願者数・受験者数・合格者数・入学者数」を転記。</x:v>
      </x:c>
    </x:row>
    <x:row r="429" ht="38" customHeight="1">
      <x:c r="A429" s="2" t="str">
        <x:v>電気通信大学</x:v>
      </x:c>
      <x:c r="B429" s="2" t="str">
        <x:v>情報理工学研究科</x:v>
      </x:c>
      <x:c r="C429" s="2" t="str">
        <x:v>情報学専攻</x:v>
      </x:c>
      <x:c r="D429" s="44" t="n">
        <x:v>2025</x:v>
      </x:c>
      <x:c r="E429" s="27" t="str">
        <x:v>全年合計</x:v>
      </x:c>
      <x:c r="F429" s="27" t="str">
        <x:v>博士前期課程</x:v>
      </x:c>
      <x:c r="G429" s="27" t="str">
        <x:v>推薦入試</x:v>
      </x:c>
      <x:c r="H429" s="27" t="str">
        <x:v>专攻/系</x:v>
      </x:c>
      <x:c r="I429" s="44" t="n">
        <x:v>52</x:v>
      </x:c>
      <x:c r="J429" s="44" t="n">
        <x:v>74</x:v>
      </x:c>
      <x:c r="K429" s="44" t="n">
        <x:v>74</x:v>
      </x:c>
      <x:c r="L429" s="44" t="n">
        <x:v>71</x:v>
      </x:c>
      <x:c r="M429" s="44" t="n">
        <x:v>71</x:v>
      </x:c>
      <x:c r="N429" s="45" t="n">
        <x:f>IF(AND(J429&lt;&gt;"",L429&lt;&gt;0),J429/L429,"")</x:f>
        <x:v>1.0422535211267605</x:v>
      </x:c>
      <x:c r="O429" s="45" t="n">
        <x:f>IF(AND(K429&lt;&gt;"",L429&lt;&gt;0),K429/L429,"")</x:f>
        <x:v>1.0422535211267605</x:v>
      </x:c>
      <x:c r="P429" s="46" t="n">
        <x:f>IF(AND(K429&lt;&gt;"",K429&lt;&gt;0,L429&lt;&gt;""),L429/K429,"")</x:f>
        <x:v>0.9594594594594594</x:v>
      </x:c>
      <x:c r="Q429" s="46" t="n">
        <x:f>IF(AND(L429&lt;&gt;"",L429&lt;&gt;0,M429&lt;&gt;""),M429/L429,"")</x:f>
        <x:v>1</x:v>
      </x:c>
      <x:c r="R429" s="45" t="n">
        <x:f>IF(N429&lt;&gt;"",N429,IF(O429&lt;&gt;"",O429,""))</x:f>
        <x:v>1.0422535211267605</x:v>
      </x:c>
      <x:c r="S429" s="2" t="str">
        <x:f>IF(N429&lt;&gt;"","志愿/合格",IF(O429&lt;&gt;"","受验/合格",""))</x:f>
        <x:v>志愿/合格</x:v>
      </x:c>
      <x:c r="T429" s="2" t="str">
        <x:v>官方</x:v>
      </x:c>
      <x:c r="U429" s="2" t="str">
        <x:v>高</x:v>
      </x:c>
      <x:c r="V429" s="27" t="str">
        <x:v>2025年4月入学 大学院情報理工学研究科（IE）入学者選抜状況</x:v>
      </x:c>
      <x:c r="W429" s="27" t="str">
        <x:v>p.1《博士前期課程》推薦入試・情報学専攻行</x:v>
      </x:c>
      <x:c r="X429" s="27" t="str">
        <x:v>https://www.uec.ac.jp/education/graduate/admission/pdf/ie2025.pdf</x:v>
      </x:c>
      <x:c r="Y429" s="27" t="str">
        <x:v>専攻別の公式値。社会人入試の募集人員は「若干名」のため capacity=null。</x:v>
      </x:c>
      <x:c r="Z429" s="47" t="str">
        <x:v>PDFの「志願者数・受験者数・合格者数・入学者数」を転記。</x:v>
      </x:c>
    </x:row>
    <x:row r="430" ht="38" customHeight="1">
      <x:c r="A430" s="2" t="str">
        <x:v>電気通信大学</x:v>
      </x:c>
      <x:c r="B430" s="2" t="str">
        <x:v>情報理工学研究科</x:v>
      </x:c>
      <x:c r="C430" s="2" t="str">
        <x:v>情報学専攻</x:v>
      </x:c>
      <x:c r="D430" s="44" t="n">
        <x:v>2025</x:v>
      </x:c>
      <x:c r="E430" s="27" t="str">
        <x:v>全年合計</x:v>
      </x:c>
      <x:c r="F430" s="27" t="str">
        <x:v>博士前期課程</x:v>
      </x:c>
      <x:c r="G430" s="27" t="str">
        <x:v>社会人入試</x:v>
      </x:c>
      <x:c r="H430" s="27" t="str">
        <x:v>专攻/系</x:v>
      </x:c>
      <x:c r="I430" s="44"/>
      <x:c r="J430" s="44" t="n">
        <x:v>5</x:v>
      </x:c>
      <x:c r="K430" s="44" t="n">
        <x:v>5</x:v>
      </x:c>
      <x:c r="L430" s="44" t="n">
        <x:v>3</x:v>
      </x:c>
      <x:c r="M430" s="44" t="n">
        <x:v>3</x:v>
      </x:c>
      <x:c r="N430" s="45" t="n">
        <x:f>IF(AND(J430&lt;&gt;"",L430&lt;&gt;0),J430/L430,"")</x:f>
        <x:v>1.6666666666666667</x:v>
      </x:c>
      <x:c r="O430" s="45" t="n">
        <x:f>IF(AND(K430&lt;&gt;"",L430&lt;&gt;0),K430/L430,"")</x:f>
        <x:v>1.6666666666666667</x:v>
      </x:c>
      <x:c r="P430" s="46" t="n">
        <x:f>IF(AND(K430&lt;&gt;"",K430&lt;&gt;0,L430&lt;&gt;""),L430/K430,"")</x:f>
        <x:v>0.6</x:v>
      </x:c>
      <x:c r="Q430" s="46" t="n">
        <x:f>IF(AND(L430&lt;&gt;"",L430&lt;&gt;0,M430&lt;&gt;""),M430/L430,"")</x:f>
        <x:v>1</x:v>
      </x:c>
      <x:c r="R430" s="45" t="n">
        <x:f>IF(N430&lt;&gt;"",N430,IF(O430&lt;&gt;"",O430,""))</x:f>
        <x:v>1.6666666666666667</x:v>
      </x:c>
      <x:c r="S430" s="2" t="str">
        <x:f>IF(N430&lt;&gt;"","志愿/合格",IF(O430&lt;&gt;"","受验/合格",""))</x:f>
        <x:v>志愿/合格</x:v>
      </x:c>
      <x:c r="T430" s="2" t="str">
        <x:v>官方</x:v>
      </x:c>
      <x:c r="U430" s="2" t="str">
        <x:v>高</x:v>
      </x:c>
      <x:c r="V430" s="27" t="str">
        <x:v>2025年4月入学 大学院情報理工学研究科（IE）入学者選抜状況</x:v>
      </x:c>
      <x:c r="W430" s="27" t="str">
        <x:v>p.1《博士前期課程》社会人入試・情報学専攻行</x:v>
      </x:c>
      <x:c r="X430" s="27" t="str">
        <x:v>https://www.uec.ac.jp/education/graduate/admission/pdf/ie2025.pdf</x:v>
      </x:c>
      <x:c r="Y430" s="27" t="str">
        <x:v>専攻別の公式値。社会人入試の募集人員は「若干名」のため capacity=null。</x:v>
      </x:c>
      <x:c r="Z430" s="47" t="str">
        <x:v>PDFの「志願者数・受験者数・合格者数・入学者数」を転記。</x:v>
      </x:c>
    </x:row>
    <x:row r="431" ht="38" customHeight="1">
      <x:c r="A431" s="2" t="str">
        <x:v>電気通信大学</x:v>
      </x:c>
      <x:c r="B431" s="2" t="str">
        <x:v>情報理工学研究科</x:v>
      </x:c>
      <x:c r="C431" s="2" t="str">
        <x:v>情報学専攻</x:v>
      </x:c>
      <x:c r="D431" s="44" t="n">
        <x:v>2026</x:v>
      </x:c>
      <x:c r="E431" s="27" t="str">
        <x:v>全年合計</x:v>
      </x:c>
      <x:c r="F431" s="27" t="str">
        <x:v>博士前期課程</x:v>
      </x:c>
      <x:c r="G431" s="27" t="str">
        <x:v>一般入試</x:v>
      </x:c>
      <x:c r="H431" s="27" t="str">
        <x:v>专攻/系</x:v>
      </x:c>
      <x:c r="I431" s="44" t="n">
        <x:v>78</x:v>
      </x:c>
      <x:c r="J431" s="44" t="n">
        <x:v>188</x:v>
      </x:c>
      <x:c r="K431" s="44" t="n">
        <x:v>177</x:v>
      </x:c>
      <x:c r="L431" s="44" t="n">
        <x:v>92</x:v>
      </x:c>
      <x:c r="M431" s="44" t="n">
        <x:v>85</x:v>
      </x:c>
      <x:c r="N431" s="45" t="n">
        <x:f>IF(AND(J431&lt;&gt;"",L431&lt;&gt;0),J431/L431,"")</x:f>
        <x:v>2.0434782608695654</x:v>
      </x:c>
      <x:c r="O431" s="45" t="n">
        <x:f>IF(AND(K431&lt;&gt;"",L431&lt;&gt;0),K431/L431,"")</x:f>
        <x:v>1.923913043478261</x:v>
      </x:c>
      <x:c r="P431" s="46" t="n">
        <x:f>IF(AND(K431&lt;&gt;"",K431&lt;&gt;0,L431&lt;&gt;""),L431/K431,"")</x:f>
        <x:v>0.519774011299435</x:v>
      </x:c>
      <x:c r="Q431" s="46" t="n">
        <x:f>IF(AND(L431&lt;&gt;"",L431&lt;&gt;0,M431&lt;&gt;""),M431/L431,"")</x:f>
        <x:v>0.9239130434782609</x:v>
      </x:c>
      <x:c r="R431" s="45" t="n">
        <x:f>IF(N431&lt;&gt;"",N431,IF(O431&lt;&gt;"",O431,""))</x:f>
        <x:v>2.0434782608695654</x:v>
      </x:c>
      <x:c r="S431" s="2" t="str">
        <x:f>IF(N431&lt;&gt;"","志愿/合格",IF(O431&lt;&gt;"","受验/合格",""))</x:f>
        <x:v>志愿/合格</x:v>
      </x:c>
      <x:c r="T431" s="2" t="str">
        <x:v>官方</x:v>
      </x:c>
      <x:c r="U431" s="2" t="str">
        <x:v>高</x:v>
      </x:c>
      <x:c r="V431" s="27" t="str">
        <x:v>2026年4月入学 大学院情報理工学研究科（IE）入学者選抜状況</x:v>
      </x:c>
      <x:c r="W431" s="27" t="str">
        <x:v>p.1《博士前期課程》一般入試・情報学専攻行</x:v>
      </x:c>
      <x:c r="X431" s="27" t="str">
        <x:v>https://www.uec.ac.jp/education/graduate/admission/pdf/ie2026.pdf</x:v>
      </x:c>
      <x:c r="Y431" s="27" t="str">
        <x:v>専攻別の公式値。社会人入試の募集人員は「若干名」のため capacity=null。</x:v>
      </x:c>
      <x:c r="Z431" s="47" t="str">
        <x:v>PDFの「志願者数・受験者数・合格者数・入学者数」を転記。</x:v>
      </x:c>
    </x:row>
    <x:row r="432" ht="38" customHeight="1">
      <x:c r="A432" s="2" t="str">
        <x:v>電気通信大学</x:v>
      </x:c>
      <x:c r="B432" s="2" t="str">
        <x:v>情報理工学研究科</x:v>
      </x:c>
      <x:c r="C432" s="2" t="str">
        <x:v>情報学専攻</x:v>
      </x:c>
      <x:c r="D432" s="44" t="n">
        <x:v>2026</x:v>
      </x:c>
      <x:c r="E432" s="27" t="str">
        <x:v>全年合計</x:v>
      </x:c>
      <x:c r="F432" s="27" t="str">
        <x:v>博士前期課程</x:v>
      </x:c>
      <x:c r="G432" s="27" t="str">
        <x:v>推薦入試</x:v>
      </x:c>
      <x:c r="H432" s="27" t="str">
        <x:v>专攻/系</x:v>
      </x:c>
      <x:c r="I432" s="44" t="n">
        <x:v>52</x:v>
      </x:c>
      <x:c r="J432" s="44" t="n">
        <x:v>77</x:v>
      </x:c>
      <x:c r="K432" s="44" t="n">
        <x:v>77</x:v>
      </x:c>
      <x:c r="L432" s="44" t="n">
        <x:v>72</x:v>
      </x:c>
      <x:c r="M432" s="44" t="n">
        <x:v>71</x:v>
      </x:c>
      <x:c r="N432" s="45" t="n">
        <x:f>IF(AND(J432&lt;&gt;"",L432&lt;&gt;0),J432/L432,"")</x:f>
        <x:v>1.0694444444444444</x:v>
      </x:c>
      <x:c r="O432" s="45" t="n">
        <x:f>IF(AND(K432&lt;&gt;"",L432&lt;&gt;0),K432/L432,"")</x:f>
        <x:v>1.0694444444444444</x:v>
      </x:c>
      <x:c r="P432" s="46" t="n">
        <x:f>IF(AND(K432&lt;&gt;"",K432&lt;&gt;0,L432&lt;&gt;""),L432/K432,"")</x:f>
        <x:v>0.935064935064935</x:v>
      </x:c>
      <x:c r="Q432" s="46" t="n">
        <x:f>IF(AND(L432&lt;&gt;"",L432&lt;&gt;0,M432&lt;&gt;""),M432/L432,"")</x:f>
        <x:v>0.9861111111111112</x:v>
      </x:c>
      <x:c r="R432" s="45" t="n">
        <x:f>IF(N432&lt;&gt;"",N432,IF(O432&lt;&gt;"",O432,""))</x:f>
        <x:v>1.0694444444444444</x:v>
      </x:c>
      <x:c r="S432" s="2" t="str">
        <x:f>IF(N432&lt;&gt;"","志愿/合格",IF(O432&lt;&gt;"","受验/合格",""))</x:f>
        <x:v>志愿/合格</x:v>
      </x:c>
      <x:c r="T432" s="2" t="str">
        <x:v>官方</x:v>
      </x:c>
      <x:c r="U432" s="2" t="str">
        <x:v>高</x:v>
      </x:c>
      <x:c r="V432" s="27" t="str">
        <x:v>2026年4月入学 大学院情報理工学研究科（IE）入学者選抜状況</x:v>
      </x:c>
      <x:c r="W432" s="27" t="str">
        <x:v>p.1《博士前期課程》推薦入試・情報学専攻行</x:v>
      </x:c>
      <x:c r="X432" s="27" t="str">
        <x:v>https://www.uec.ac.jp/education/graduate/admission/pdf/ie2026.pdf</x:v>
      </x:c>
      <x:c r="Y432" s="27" t="str">
        <x:v>専攻別の公式値。社会人入試の募集人員は「若干名」のため capacity=null。</x:v>
      </x:c>
      <x:c r="Z432" s="47" t="str">
        <x:v>PDFの「志願者数・受験者数・合格者数・入学者数」を転記。</x:v>
      </x:c>
    </x:row>
    <x:row r="433" ht="38" customHeight="1">
      <x:c r="A433" s="2" t="str">
        <x:v>電気通信大学</x:v>
      </x:c>
      <x:c r="B433" s="2" t="str">
        <x:v>情報理工学研究科</x:v>
      </x:c>
      <x:c r="C433" s="2" t="str">
        <x:v>情報学専攻</x:v>
      </x:c>
      <x:c r="D433" s="44" t="n">
        <x:v>2026</x:v>
      </x:c>
      <x:c r="E433" s="27" t="str">
        <x:v>全年合計</x:v>
      </x:c>
      <x:c r="F433" s="27" t="str">
        <x:v>博士前期課程</x:v>
      </x:c>
      <x:c r="G433" s="27" t="str">
        <x:v>社会人入試</x:v>
      </x:c>
      <x:c r="H433" s="27" t="str">
        <x:v>专攻/系</x:v>
      </x:c>
      <x:c r="I433" s="44"/>
      <x:c r="J433" s="44" t="n">
        <x:v>2</x:v>
      </x:c>
      <x:c r="K433" s="44" t="n">
        <x:v>2</x:v>
      </x:c>
      <x:c r="L433" s="44" t="n">
        <x:v>2</x:v>
      </x:c>
      <x:c r="M433" s="44" t="n">
        <x:v>2</x:v>
      </x:c>
      <x:c r="N433" s="45" t="n">
        <x:f>IF(AND(J433&lt;&gt;"",L433&lt;&gt;0),J433/L433,"")</x:f>
        <x:v>1</x:v>
      </x:c>
      <x:c r="O433" s="45" t="n">
        <x:f>IF(AND(K433&lt;&gt;"",L433&lt;&gt;0),K433/L433,"")</x:f>
        <x:v>1</x:v>
      </x:c>
      <x:c r="P433" s="46" t="n">
        <x:f>IF(AND(K433&lt;&gt;"",K433&lt;&gt;0,L433&lt;&gt;""),L433/K433,"")</x:f>
        <x:v>1</x:v>
      </x:c>
      <x:c r="Q433" s="46" t="n">
        <x:f>IF(AND(L433&lt;&gt;"",L433&lt;&gt;0,M433&lt;&gt;""),M433/L433,"")</x:f>
        <x:v>1</x:v>
      </x:c>
      <x:c r="R433" s="45" t="n">
        <x:f>IF(N433&lt;&gt;"",N433,IF(O433&lt;&gt;"",O433,""))</x:f>
        <x:v>1</x:v>
      </x:c>
      <x:c r="S433" s="2" t="str">
        <x:f>IF(N433&lt;&gt;"","志愿/合格",IF(O433&lt;&gt;"","受验/合格",""))</x:f>
        <x:v>志愿/合格</x:v>
      </x:c>
      <x:c r="T433" s="2" t="str">
        <x:v>官方</x:v>
      </x:c>
      <x:c r="U433" s="2" t="str">
        <x:v>高</x:v>
      </x:c>
      <x:c r="V433" s="27" t="str">
        <x:v>2026年4月入学 大学院情報理工学研究科（IE）入学者選抜状況</x:v>
      </x:c>
      <x:c r="W433" s="27" t="str">
        <x:v>p.1《博士前期課程》社会人入試・情報学専攻行</x:v>
      </x:c>
      <x:c r="X433" s="27" t="str">
        <x:v>https://www.uec.ac.jp/education/graduate/admission/pdf/ie2026.pdf</x:v>
      </x:c>
      <x:c r="Y433" s="27" t="str">
        <x:v>専攻別の公式値。社会人入試の募集人員は「若干名」のため capacity=null。</x:v>
      </x:c>
      <x:c r="Z433" s="47" t="str">
        <x:v>PDFの「志願者数・受験者数・合格者数・入学者数」を転記。</x:v>
      </x:c>
    </x:row>
    <x:row r="434" ht="38" customHeight="1">
      <x:c r="A434" s="2" t="str">
        <x:v>広島大学</x:v>
      </x:c>
      <x:c r="B434" s="2" t="str">
        <x:v>先進理工系科学研究科</x:v>
      </x:c>
      <x:c r="C434" s="2" t="str">
        <x:v>情報科学プログラム</x:v>
      </x:c>
      <x:c r="D434" s="44" t="n">
        <x:v>2023</x:v>
      </x:c>
      <x:c r="E434" s="27" t="str">
        <x:v>10月入学</x:v>
      </x:c>
      <x:c r="F434" s="27" t="str">
        <x:v>博士課程前期</x:v>
      </x:c>
      <x:c r="G434" s="27" t="str">
        <x:v>全選抜区分合計</x:v>
      </x:c>
      <x:c r="H434" s="27" t="str">
        <x:v>专攻/系</x:v>
      </x:c>
      <x:c r="I434" s="44"/>
      <x:c r="J434" s="44" t="n">
        <x:v>17</x:v>
      </x:c>
      <x:c r="K434" s="44"/>
      <x:c r="L434" s="44" t="n">
        <x:v>7</x:v>
      </x:c>
      <x:c r="M434" s="44" t="n">
        <x:v>7</x:v>
      </x:c>
      <x:c r="N434" s="45" t="n">
        <x:f>IF(AND(J434&lt;&gt;"",L434&lt;&gt;0),J434/L434,"")</x:f>
        <x:v>2.4285714285714284</x:v>
      </x:c>
      <x:c r="O434" s="45" t="str">
        <x:f>IF(AND(K434&lt;&gt;"",L434&lt;&gt;0),K434/L434,"")</x:f>
      </x:c>
      <x:c r="P434" s="46" t="str">
        <x:f>IF(AND(K434&lt;&gt;"",K434&lt;&gt;0,L434&lt;&gt;""),L434/K434,"")</x:f>
      </x:c>
      <x:c r="Q434" s="46" t="n">
        <x:f>IF(AND(L434&lt;&gt;"",L434&lt;&gt;0,M434&lt;&gt;""),M434/L434,"")</x:f>
        <x:v>1</x:v>
      </x:c>
      <x:c r="R434" s="45" t="n">
        <x:f>IF(N434&lt;&gt;"",N434,IF(O434&lt;&gt;"",O434,""))</x:f>
        <x:v>2.4285714285714284</x:v>
      </x:c>
      <x:c r="S434" s="2" t="str">
        <x:f>IF(N434&lt;&gt;"","志愿/合格",IF(O434&lt;&gt;"","受验/合格",""))</x:f>
        <x:v>志愿/合格</x:v>
      </x:c>
      <x:c r="T434" s="2" t="str">
        <x:v>官方</x:v>
      </x:c>
      <x:c r="U434" s="2" t="str">
        <x:v>高</x:v>
      </x:c>
      <x:c r="V434" s="27" t="str">
        <x:v>先進理工系科学研究科 研究科パンフレット2026</x:v>
      </x:c>
      <x:c r="W434" s="27" t="str">
        <x:v>電子版 p.32「入学試験実施状況」博士課程前期・情報科学プログラム行</x:v>
      </x:c>
      <x:c r="X434" s="27" t="str">
        <x:v>https://archive2.hiroshima-u.ac.jp/adse/brochure2026/index_h5.html</x:v>
      </x:c>
      <x:c r="Y434" s="27" t="str">
        <x:v>学位プログラム別の公式値。入学定員は専攻全体483人（うち13人は別研究院活用）としてのみ掲載されるため capacity=null。</x:v>
      </x:c>
      <x:c r="Z434" s="47" t="str">
        <x:v>出願者数・合格者数・入学者数。受験者数は掲載なし。</x:v>
      </x:c>
    </x:row>
    <x:row r="435" ht="38" customHeight="1">
      <x:c r="A435" s="2" t="str">
        <x:v>広島大学</x:v>
      </x:c>
      <x:c r="B435" s="2" t="str">
        <x:v>先進理工系科学研究科</x:v>
      </x:c>
      <x:c r="C435" s="2" t="str">
        <x:v>情報科学プログラム</x:v>
      </x:c>
      <x:c r="D435" s="44" t="n">
        <x:v>2023</x:v>
      </x:c>
      <x:c r="E435" s="27" t="str">
        <x:v>4月入学</x:v>
      </x:c>
      <x:c r="F435" s="27" t="str">
        <x:v>博士課程前期</x:v>
      </x:c>
      <x:c r="G435" s="27" t="str">
        <x:v>全選抜区分合計</x:v>
      </x:c>
      <x:c r="H435" s="27" t="str">
        <x:v>专攻/系</x:v>
      </x:c>
      <x:c r="I435" s="44"/>
      <x:c r="J435" s="44" t="n">
        <x:v>75</x:v>
      </x:c>
      <x:c r="K435" s="44"/>
      <x:c r="L435" s="44" t="n">
        <x:v>57</x:v>
      </x:c>
      <x:c r="M435" s="44" t="n">
        <x:v>49</x:v>
      </x:c>
      <x:c r="N435" s="45" t="n">
        <x:f>IF(AND(J435&lt;&gt;"",L435&lt;&gt;0),J435/L435,"")</x:f>
        <x:v>1.3157894736842106</x:v>
      </x:c>
      <x:c r="O435" s="45" t="str">
        <x:f>IF(AND(K435&lt;&gt;"",L435&lt;&gt;0),K435/L435,"")</x:f>
      </x:c>
      <x:c r="P435" s="46" t="str">
        <x:f>IF(AND(K435&lt;&gt;"",K435&lt;&gt;0,L435&lt;&gt;""),L435/K435,"")</x:f>
      </x:c>
      <x:c r="Q435" s="46" t="n">
        <x:f>IF(AND(L435&lt;&gt;"",L435&lt;&gt;0,M435&lt;&gt;""),M435/L435,"")</x:f>
        <x:v>0.8596491228070176</x:v>
      </x:c>
      <x:c r="R435" s="45" t="n">
        <x:f>IF(N435&lt;&gt;"",N435,IF(O435&lt;&gt;"",O435,""))</x:f>
        <x:v>1.3157894736842106</x:v>
      </x:c>
      <x:c r="S435" s="2" t="str">
        <x:f>IF(N435&lt;&gt;"","志愿/合格",IF(O435&lt;&gt;"","受验/合格",""))</x:f>
        <x:v>志愿/合格</x:v>
      </x:c>
      <x:c r="T435" s="2" t="str">
        <x:v>官方</x:v>
      </x:c>
      <x:c r="U435" s="2" t="str">
        <x:v>高</x:v>
      </x:c>
      <x:c r="V435" s="27" t="str">
        <x:v>先進理工系科学研究科 研究科パンフレット2026</x:v>
      </x:c>
      <x:c r="W435" s="27" t="str">
        <x:v>電子版 p.32「入学試験実施状況」博士課程前期・情報科学プログラム行</x:v>
      </x:c>
      <x:c r="X435" s="27" t="str">
        <x:v>https://archive2.hiroshima-u.ac.jp/adse/brochure2026/index_h5.html</x:v>
      </x:c>
      <x:c r="Y435" s="27" t="str">
        <x:v>学位プログラム別の公式値。入学定員は専攻全体483人（うち13人は別研究院活用）としてのみ掲載されるため capacity=null。</x:v>
      </x:c>
      <x:c r="Z435" s="47" t="str">
        <x:v>出願者数・合格者数・入学者数。受験者数は掲載なし。</x:v>
      </x:c>
    </x:row>
    <x:row r="436" ht="38" customHeight="1">
      <x:c r="A436" s="2" t="str">
        <x:v>広島大学</x:v>
      </x:c>
      <x:c r="B436" s="2" t="str">
        <x:v>先進理工系科学研究科</x:v>
      </x:c>
      <x:c r="C436" s="2" t="str">
        <x:v>情報科学プログラム</x:v>
      </x:c>
      <x:c r="D436" s="44" t="n">
        <x:v>2024</x:v>
      </x:c>
      <x:c r="E436" s="27" t="str">
        <x:v>10月入学</x:v>
      </x:c>
      <x:c r="F436" s="27" t="str">
        <x:v>博士課程前期</x:v>
      </x:c>
      <x:c r="G436" s="27" t="str">
        <x:v>全選抜区分合計</x:v>
      </x:c>
      <x:c r="H436" s="27" t="str">
        <x:v>专攻/系</x:v>
      </x:c>
      <x:c r="I436" s="44"/>
      <x:c r="J436" s="44" t="n">
        <x:v>24</x:v>
      </x:c>
      <x:c r="K436" s="44"/>
      <x:c r="L436" s="44" t="n">
        <x:v>9</x:v>
      </x:c>
      <x:c r="M436" s="44" t="n">
        <x:v>9</x:v>
      </x:c>
      <x:c r="N436" s="45" t="n">
        <x:f>IF(AND(J436&lt;&gt;"",L436&lt;&gt;0),J436/L436,"")</x:f>
        <x:v>2.6666666666666665</x:v>
      </x:c>
      <x:c r="O436" s="45" t="str">
        <x:f>IF(AND(K436&lt;&gt;"",L436&lt;&gt;0),K436/L436,"")</x:f>
      </x:c>
      <x:c r="P436" s="46" t="str">
        <x:f>IF(AND(K436&lt;&gt;"",K436&lt;&gt;0,L436&lt;&gt;""),L436/K436,"")</x:f>
      </x:c>
      <x:c r="Q436" s="46" t="n">
        <x:f>IF(AND(L436&lt;&gt;"",L436&lt;&gt;0,M436&lt;&gt;""),M436/L436,"")</x:f>
        <x:v>1</x:v>
      </x:c>
      <x:c r="R436" s="45" t="n">
        <x:f>IF(N436&lt;&gt;"",N436,IF(O436&lt;&gt;"",O436,""))</x:f>
        <x:v>2.6666666666666665</x:v>
      </x:c>
      <x:c r="S436" s="2" t="str">
        <x:f>IF(N436&lt;&gt;"","志愿/合格",IF(O436&lt;&gt;"","受验/合格",""))</x:f>
        <x:v>志愿/合格</x:v>
      </x:c>
      <x:c r="T436" s="2" t="str">
        <x:v>官方</x:v>
      </x:c>
      <x:c r="U436" s="2" t="str">
        <x:v>高</x:v>
      </x:c>
      <x:c r="V436" s="27" t="str">
        <x:v>先進理工系科学研究科 研究科パンフレット2026</x:v>
      </x:c>
      <x:c r="W436" s="27" t="str">
        <x:v>電子版 p.32「入学試験実施状況」博士課程前期・情報科学プログラム行</x:v>
      </x:c>
      <x:c r="X436" s="27" t="str">
        <x:v>https://archive2.hiroshima-u.ac.jp/adse/brochure2026/index_h5.html</x:v>
      </x:c>
      <x:c r="Y436" s="27" t="str">
        <x:v>学位プログラム別の公式値。入学定員は専攻全体483人（うち13人は別研究院活用）としてのみ掲載されるため capacity=null。</x:v>
      </x:c>
      <x:c r="Z436" s="47" t="str">
        <x:v>出願者数・合格者数・入学者数。受験者数は掲載なし。</x:v>
      </x:c>
    </x:row>
    <x:row r="437" ht="38" customHeight="1">
      <x:c r="A437" s="2" t="str">
        <x:v>広島大学</x:v>
      </x:c>
      <x:c r="B437" s="2" t="str">
        <x:v>先進理工系科学研究科</x:v>
      </x:c>
      <x:c r="C437" s="2" t="str">
        <x:v>情報科学プログラム</x:v>
      </x:c>
      <x:c r="D437" s="44" t="n">
        <x:v>2024</x:v>
      </x:c>
      <x:c r="E437" s="27" t="str">
        <x:v>4月入学</x:v>
      </x:c>
      <x:c r="F437" s="27" t="str">
        <x:v>博士課程前期</x:v>
      </x:c>
      <x:c r="G437" s="27" t="str">
        <x:v>全選抜区分合計</x:v>
      </x:c>
      <x:c r="H437" s="27" t="str">
        <x:v>专攻/系</x:v>
      </x:c>
      <x:c r="I437" s="44"/>
      <x:c r="J437" s="44" t="n">
        <x:v>101</x:v>
      </x:c>
      <x:c r="K437" s="44"/>
      <x:c r="L437" s="44" t="n">
        <x:v>68</x:v>
      </x:c>
      <x:c r="M437" s="44" t="n">
        <x:v>59</x:v>
      </x:c>
      <x:c r="N437" s="45" t="n">
        <x:f>IF(AND(J437&lt;&gt;"",L437&lt;&gt;0),J437/L437,"")</x:f>
        <x:v>1.4852941176470589</x:v>
      </x:c>
      <x:c r="O437" s="45" t="str">
        <x:f>IF(AND(K437&lt;&gt;"",L437&lt;&gt;0),K437/L437,"")</x:f>
      </x:c>
      <x:c r="P437" s="46" t="str">
        <x:f>IF(AND(K437&lt;&gt;"",K437&lt;&gt;0,L437&lt;&gt;""),L437/K437,"")</x:f>
      </x:c>
      <x:c r="Q437" s="46" t="n">
        <x:f>IF(AND(L437&lt;&gt;"",L437&lt;&gt;0,M437&lt;&gt;""),M437/L437,"")</x:f>
        <x:v>0.8676470588235294</x:v>
      </x:c>
      <x:c r="R437" s="45" t="n">
        <x:f>IF(N437&lt;&gt;"",N437,IF(O437&lt;&gt;"",O437,""))</x:f>
        <x:v>1.4852941176470589</x:v>
      </x:c>
      <x:c r="S437" s="2" t="str">
        <x:f>IF(N437&lt;&gt;"","志愿/合格",IF(O437&lt;&gt;"","受验/合格",""))</x:f>
        <x:v>志愿/合格</x:v>
      </x:c>
      <x:c r="T437" s="2" t="str">
        <x:v>官方</x:v>
      </x:c>
      <x:c r="U437" s="2" t="str">
        <x:v>高</x:v>
      </x:c>
      <x:c r="V437" s="27" t="str">
        <x:v>先進理工系科学研究科 研究科パンフレット2026</x:v>
      </x:c>
      <x:c r="W437" s="27" t="str">
        <x:v>電子版 p.32「入学試験実施状況」博士課程前期・情報科学プログラム行</x:v>
      </x:c>
      <x:c r="X437" s="27" t="str">
        <x:v>https://archive2.hiroshima-u.ac.jp/adse/brochure2026/index_h5.html</x:v>
      </x:c>
      <x:c r="Y437" s="27" t="str">
        <x:v>学位プログラム別の公式値。入学定員は専攻全体483人（うち13人は別研究院活用）としてのみ掲載されるため capacity=null。</x:v>
      </x:c>
      <x:c r="Z437" s="47" t="str">
        <x:v>出願者数・合格者数・入学者数。受験者数は掲載なし。</x:v>
      </x:c>
    </x:row>
    <x:row r="438" ht="38" customHeight="1">
      <x:c r="A438" s="2" t="str">
        <x:v>広島大学</x:v>
      </x:c>
      <x:c r="B438" s="2" t="str">
        <x:v>先進理工系科学研究科</x:v>
      </x:c>
      <x:c r="C438" s="2" t="str">
        <x:v>情報科学プログラム</x:v>
      </x:c>
      <x:c r="D438" s="44" t="n">
        <x:v>2025</x:v>
      </x:c>
      <x:c r="E438" s="27" t="str">
        <x:v>10月入学</x:v>
      </x:c>
      <x:c r="F438" s="27" t="str">
        <x:v>博士課程前期</x:v>
      </x:c>
      <x:c r="G438" s="27" t="str">
        <x:v>全選抜区分合計</x:v>
      </x:c>
      <x:c r="H438" s="27" t="str">
        <x:v>专攻/系</x:v>
      </x:c>
      <x:c r="I438" s="44"/>
      <x:c r="J438" s="44" t="n">
        <x:v>28</x:v>
      </x:c>
      <x:c r="K438" s="44"/>
      <x:c r="L438" s="44" t="n">
        <x:v>14</x:v>
      </x:c>
      <x:c r="M438" s="44" t="n">
        <x:v>11</x:v>
      </x:c>
      <x:c r="N438" s="45" t="n">
        <x:f>IF(AND(J438&lt;&gt;"",L438&lt;&gt;0),J438/L438,"")</x:f>
        <x:v>2</x:v>
      </x:c>
      <x:c r="O438" s="45" t="str">
        <x:f>IF(AND(K438&lt;&gt;"",L438&lt;&gt;0),K438/L438,"")</x:f>
      </x:c>
      <x:c r="P438" s="46" t="str">
        <x:f>IF(AND(K438&lt;&gt;"",K438&lt;&gt;0,L438&lt;&gt;""),L438/K438,"")</x:f>
      </x:c>
      <x:c r="Q438" s="46" t="n">
        <x:f>IF(AND(L438&lt;&gt;"",L438&lt;&gt;0,M438&lt;&gt;""),M438/L438,"")</x:f>
        <x:v>0.7857142857142857</x:v>
      </x:c>
      <x:c r="R438" s="45" t="n">
        <x:f>IF(N438&lt;&gt;"",N438,IF(O438&lt;&gt;"",O438,""))</x:f>
        <x:v>2</x:v>
      </x:c>
      <x:c r="S438" s="2" t="str">
        <x:f>IF(N438&lt;&gt;"","志愿/合格",IF(O438&lt;&gt;"","受验/合格",""))</x:f>
        <x:v>志愿/合格</x:v>
      </x:c>
      <x:c r="T438" s="2" t="str">
        <x:v>官方</x:v>
      </x:c>
      <x:c r="U438" s="2" t="str">
        <x:v>高</x:v>
      </x:c>
      <x:c r="V438" s="27" t="str">
        <x:v>先進理工系科学研究科 研究科パンフレット2026</x:v>
      </x:c>
      <x:c r="W438" s="27" t="str">
        <x:v>電子版 p.32「入学試験実施状況」博士課程前期・情報科学プログラム行</x:v>
      </x:c>
      <x:c r="X438" s="27" t="str">
        <x:v>https://archive2.hiroshima-u.ac.jp/adse/brochure2026/index_h5.html</x:v>
      </x:c>
      <x:c r="Y438" s="27" t="str">
        <x:v>学位プログラム別の公式値。入学定員は専攻全体483人（うち13人は別研究院活用）としてのみ掲載されるため capacity=null。</x:v>
      </x:c>
      <x:c r="Z438" s="47" t="str">
        <x:v>出願者数・合格者数・入学者数。受験者数は掲載なし。</x:v>
      </x:c>
    </x:row>
    <x:row r="439" ht="38" customHeight="1">
      <x:c r="A439" s="2" t="str">
        <x:v>広島大学</x:v>
      </x:c>
      <x:c r="B439" s="2" t="str">
        <x:v>先進理工系科学研究科</x:v>
      </x:c>
      <x:c r="C439" s="2" t="str">
        <x:v>情報科学プログラム</x:v>
      </x:c>
      <x:c r="D439" s="44" t="n">
        <x:v>2025</x:v>
      </x:c>
      <x:c r="E439" s="27" t="str">
        <x:v>4月入学</x:v>
      </x:c>
      <x:c r="F439" s="27" t="str">
        <x:v>博士課程前期</x:v>
      </x:c>
      <x:c r="G439" s="27" t="str">
        <x:v>全選抜区分合計</x:v>
      </x:c>
      <x:c r="H439" s="27" t="str">
        <x:v>专攻/系</x:v>
      </x:c>
      <x:c r="I439" s="44"/>
      <x:c r="J439" s="44" t="n">
        <x:v>110</x:v>
      </x:c>
      <x:c r="K439" s="44"/>
      <x:c r="L439" s="44" t="n">
        <x:v>72</x:v>
      </x:c>
      <x:c r="M439" s="44" t="n">
        <x:v>69</x:v>
      </x:c>
      <x:c r="N439" s="45" t="n">
        <x:f>IF(AND(J439&lt;&gt;"",L439&lt;&gt;0),J439/L439,"")</x:f>
        <x:v>1.5277777777777777</x:v>
      </x:c>
      <x:c r="O439" s="45" t="str">
        <x:f>IF(AND(K439&lt;&gt;"",L439&lt;&gt;0),K439/L439,"")</x:f>
      </x:c>
      <x:c r="P439" s="46" t="str">
        <x:f>IF(AND(K439&lt;&gt;"",K439&lt;&gt;0,L439&lt;&gt;""),L439/K439,"")</x:f>
      </x:c>
      <x:c r="Q439" s="46" t="n">
        <x:f>IF(AND(L439&lt;&gt;"",L439&lt;&gt;0,M439&lt;&gt;""),M439/L439,"")</x:f>
        <x:v>0.9583333333333334</x:v>
      </x:c>
      <x:c r="R439" s="45" t="n">
        <x:f>IF(N439&lt;&gt;"",N439,IF(O439&lt;&gt;"",O439,""))</x:f>
        <x:v>1.5277777777777777</x:v>
      </x:c>
      <x:c r="S439" s="2" t="str">
        <x:f>IF(N439&lt;&gt;"","志愿/合格",IF(O439&lt;&gt;"","受验/合格",""))</x:f>
        <x:v>志愿/合格</x:v>
      </x:c>
      <x:c r="T439" s="2" t="str">
        <x:v>官方</x:v>
      </x:c>
      <x:c r="U439" s="2" t="str">
        <x:v>高</x:v>
      </x:c>
      <x:c r="V439" s="27" t="str">
        <x:v>先進理工系科学研究科 研究科パンフレット2026</x:v>
      </x:c>
      <x:c r="W439" s="27" t="str">
        <x:v>電子版 p.32「入学試験実施状況」博士課程前期・情報科学プログラム行</x:v>
      </x:c>
      <x:c r="X439" s="27" t="str">
        <x:v>https://archive2.hiroshima-u.ac.jp/adse/brochure2026/index_h5.html</x:v>
      </x:c>
      <x:c r="Y439" s="27" t="str">
        <x:v>学位プログラム別の公式値。入学定員は専攻全体483人（うち13人は別研究院活用）としてのみ掲載されるため capacity=null。</x:v>
      </x:c>
      <x:c r="Z439" s="47" t="str">
        <x:v>出願者数・合格者数・入学者数。受験者数は掲載なし。</x:v>
      </x:c>
    </x:row>
    <x:row r="440" ht="38" customHeight="1">
      <x:c r="A440" s="2" t="str">
        <x:v>広島大学</x:v>
      </x:c>
      <x:c r="B440" s="2" t="str">
        <x:v>先進理工系科学研究科</x:v>
      </x:c>
      <x:c r="C440" s="2" t="str">
        <x:v>情報科学プログラム</x:v>
      </x:c>
      <x:c r="D440" s="44" t="n">
        <x:v>2026</x:v>
      </x:c>
      <x:c r="E440" s="27" t="str">
        <x:v>4月入学</x:v>
      </x:c>
      <x:c r="F440" s="27" t="str">
        <x:v>博士課程前期</x:v>
      </x:c>
      <x:c r="G440" s="27" t="str">
        <x:v>全選抜区分合計</x:v>
      </x:c>
      <x:c r="H440" s="27" t="str">
        <x:v>专攻/系</x:v>
      </x:c>
      <x:c r="I440" s="44"/>
      <x:c r="J440" s="44" t="n">
        <x:v>116</x:v>
      </x:c>
      <x:c r="K440" s="44"/>
      <x:c r="L440" s="44" t="n">
        <x:v>70</x:v>
      </x:c>
      <x:c r="M440" s="44" t="n">
        <x:v>67</x:v>
      </x:c>
      <x:c r="N440" s="45" t="n">
        <x:f>IF(AND(J440&lt;&gt;"",L440&lt;&gt;0),J440/L440,"")</x:f>
        <x:v>1.6571428571428573</x:v>
      </x:c>
      <x:c r="O440" s="45" t="str">
        <x:f>IF(AND(K440&lt;&gt;"",L440&lt;&gt;0),K440/L440,"")</x:f>
      </x:c>
      <x:c r="P440" s="46" t="str">
        <x:f>IF(AND(K440&lt;&gt;"",K440&lt;&gt;0,L440&lt;&gt;""),L440/K440,"")</x:f>
      </x:c>
      <x:c r="Q440" s="46" t="n">
        <x:f>IF(AND(L440&lt;&gt;"",L440&lt;&gt;0,M440&lt;&gt;""),M440/L440,"")</x:f>
        <x:v>0.9571428571428572</x:v>
      </x:c>
      <x:c r="R440" s="45" t="n">
        <x:f>IF(N440&lt;&gt;"",N440,IF(O440&lt;&gt;"",O440,""))</x:f>
        <x:v>1.6571428571428573</x:v>
      </x:c>
      <x:c r="S440" s="2" t="str">
        <x:f>IF(N440&lt;&gt;"","志愿/合格",IF(O440&lt;&gt;"","受验/合格",""))</x:f>
        <x:v>志愿/合格</x:v>
      </x:c>
      <x:c r="T440" s="2" t="str">
        <x:v>官方</x:v>
      </x:c>
      <x:c r="U440" s="2" t="str">
        <x:v>高</x:v>
      </x:c>
      <x:c r="V440" s="27" t="str">
        <x:v>先進理工系科学研究科 研究科パンフレット2026</x:v>
      </x:c>
      <x:c r="W440" s="27" t="str">
        <x:v>電子版 p.32「入学試験実施状況」博士課程前期・情報科学プログラム行</x:v>
      </x:c>
      <x:c r="X440" s="27" t="str">
        <x:v>https://archive2.hiroshima-u.ac.jp/adse/brochure2026/index_h5.html</x:v>
      </x:c>
      <x:c r="Y440" s="27" t="str">
        <x:v>学位プログラム別の公式値。入学定員は専攻全体483人（うち13人は別研究院活用）としてのみ掲載されるため capacity=null。</x:v>
      </x:c>
      <x:c r="Z440" s="47" t="str">
        <x:v>出願者数・合格者数・入学者数。受験者数は掲載なし。</x:v>
      </x:c>
    </x:row>
    <x:row r="441" ht="38" customHeight="1">
      <x:c r="A441" s="2" t="str">
        <x:v>広島大学</x:v>
      </x:c>
      <x:c r="B441" s="2" t="str">
        <x:v>先進理工系科学研究科</x:v>
      </x:c>
      <x:c r="C441" s="2" t="str">
        <x:v>数学プログラム</x:v>
      </x:c>
      <x:c r="D441" s="44" t="n">
        <x:v>2023</x:v>
      </x:c>
      <x:c r="E441" s="27" t="str">
        <x:v>10月入学</x:v>
      </x:c>
      <x:c r="F441" s="27" t="str">
        <x:v>博士課程前期</x:v>
      </x:c>
      <x:c r="G441" s="27" t="str">
        <x:v>全選抜区分合計</x:v>
      </x:c>
      <x:c r="H441" s="27" t="str">
        <x:v>专攻/系</x:v>
      </x:c>
      <x:c r="I441" s="44"/>
      <x:c r="J441" s="44" t="n">
        <x:v>1</x:v>
      </x:c>
      <x:c r="K441" s="44"/>
      <x:c r="L441" s="44" t="n">
        <x:v>1</x:v>
      </x:c>
      <x:c r="M441" s="44" t="n">
        <x:v>1</x:v>
      </x:c>
      <x:c r="N441" s="45" t="n">
        <x:f>IF(AND(J441&lt;&gt;"",L441&lt;&gt;0),J441/L441,"")</x:f>
        <x:v>1</x:v>
      </x:c>
      <x:c r="O441" s="45" t="str">
        <x:f>IF(AND(K441&lt;&gt;"",L441&lt;&gt;0),K441/L441,"")</x:f>
      </x:c>
      <x:c r="P441" s="46" t="str">
        <x:f>IF(AND(K441&lt;&gt;"",K441&lt;&gt;0,L441&lt;&gt;""),L441/K441,"")</x:f>
      </x:c>
      <x:c r="Q441" s="46" t="n">
        <x:f>IF(AND(L441&lt;&gt;"",L441&lt;&gt;0,M441&lt;&gt;""),M441/L441,"")</x:f>
        <x:v>1</x:v>
      </x:c>
      <x:c r="R441" s="45" t="n">
        <x:f>IF(N441&lt;&gt;"",N441,IF(O441&lt;&gt;"",O441,""))</x:f>
        <x:v>1</x:v>
      </x:c>
      <x:c r="S441" s="2" t="str">
        <x:f>IF(N441&lt;&gt;"","志愿/合格",IF(O441&lt;&gt;"","受验/合格",""))</x:f>
        <x:v>志愿/合格</x:v>
      </x:c>
      <x:c r="T441" s="2" t="str">
        <x:v>官方</x:v>
      </x:c>
      <x:c r="U441" s="2" t="str">
        <x:v>高</x:v>
      </x:c>
      <x:c r="V441" s="27" t="str">
        <x:v>先進理工系科学研究科 研究科パンフレット2026</x:v>
      </x:c>
      <x:c r="W441" s="27" t="str">
        <x:v>電子版 p.32「入学試験実施状況」博士課程前期・数学プログラム行</x:v>
      </x:c>
      <x:c r="X441" s="27" t="str">
        <x:v>https://archive2.hiroshima-u.ac.jp/adse/brochure2026/index_h5.html</x:v>
      </x:c>
      <x:c r="Y441" s="27" t="str">
        <x:v>学位プログラム別の公式値。入学定員は専攻全体483人（うち13人は別研究院活用）としてのみ掲載されるため capacity=null。</x:v>
      </x:c>
      <x:c r="Z441" s="47" t="str">
        <x:v>出願者数・合格者数・入学者数。受験者数は掲載なし。</x:v>
      </x:c>
    </x:row>
    <x:row r="442" ht="38" customHeight="1">
      <x:c r="A442" s="2" t="str">
        <x:v>広島大学</x:v>
      </x:c>
      <x:c r="B442" s="2" t="str">
        <x:v>先進理工系科学研究科</x:v>
      </x:c>
      <x:c r="C442" s="2" t="str">
        <x:v>数学プログラム</x:v>
      </x:c>
      <x:c r="D442" s="44" t="n">
        <x:v>2023</x:v>
      </x:c>
      <x:c r="E442" s="27" t="str">
        <x:v>4月入学</x:v>
      </x:c>
      <x:c r="F442" s="27" t="str">
        <x:v>博士課程前期</x:v>
      </x:c>
      <x:c r="G442" s="27" t="str">
        <x:v>全選抜区分合計</x:v>
      </x:c>
      <x:c r="H442" s="27" t="str">
        <x:v>专攻/系</x:v>
      </x:c>
      <x:c r="I442" s="44"/>
      <x:c r="J442" s="44" t="n">
        <x:v>19</x:v>
      </x:c>
      <x:c r="K442" s="44"/>
      <x:c r="L442" s="44" t="n">
        <x:v>17</x:v>
      </x:c>
      <x:c r="M442" s="44" t="n">
        <x:v>12</x:v>
      </x:c>
      <x:c r="N442" s="45" t="n">
        <x:f>IF(AND(J442&lt;&gt;"",L442&lt;&gt;0),J442/L442,"")</x:f>
        <x:v>1.1176470588235294</x:v>
      </x:c>
      <x:c r="O442" s="45" t="str">
        <x:f>IF(AND(K442&lt;&gt;"",L442&lt;&gt;0),K442/L442,"")</x:f>
      </x:c>
      <x:c r="P442" s="46" t="str">
        <x:f>IF(AND(K442&lt;&gt;"",K442&lt;&gt;0,L442&lt;&gt;""),L442/K442,"")</x:f>
      </x:c>
      <x:c r="Q442" s="46" t="n">
        <x:f>IF(AND(L442&lt;&gt;"",L442&lt;&gt;0,M442&lt;&gt;""),M442/L442,"")</x:f>
        <x:v>0.7058823529411765</x:v>
      </x:c>
      <x:c r="R442" s="45" t="n">
        <x:f>IF(N442&lt;&gt;"",N442,IF(O442&lt;&gt;"",O442,""))</x:f>
        <x:v>1.1176470588235294</x:v>
      </x:c>
      <x:c r="S442" s="2" t="str">
        <x:f>IF(N442&lt;&gt;"","志愿/合格",IF(O442&lt;&gt;"","受验/合格",""))</x:f>
        <x:v>志愿/合格</x:v>
      </x:c>
      <x:c r="T442" s="2" t="str">
        <x:v>官方</x:v>
      </x:c>
      <x:c r="U442" s="2" t="str">
        <x:v>高</x:v>
      </x:c>
      <x:c r="V442" s="27" t="str">
        <x:v>先進理工系科学研究科 研究科パンフレット2026</x:v>
      </x:c>
      <x:c r="W442" s="27" t="str">
        <x:v>電子版 p.32「入学試験実施状況」博士課程前期・数学プログラム行</x:v>
      </x:c>
      <x:c r="X442" s="27" t="str">
        <x:v>https://archive2.hiroshima-u.ac.jp/adse/brochure2026/index_h5.html</x:v>
      </x:c>
      <x:c r="Y442" s="27" t="str">
        <x:v>学位プログラム別の公式値。入学定員は専攻全体483人（うち13人は別研究院活用）としてのみ掲載されるため capacity=null。</x:v>
      </x:c>
      <x:c r="Z442" s="47" t="str">
        <x:v>出願者数・合格者数・入学者数。受験者数は掲載なし。</x:v>
      </x:c>
    </x:row>
    <x:row r="443" ht="38" customHeight="1">
      <x:c r="A443" s="2" t="str">
        <x:v>広島大学</x:v>
      </x:c>
      <x:c r="B443" s="2" t="str">
        <x:v>先進理工系科学研究科</x:v>
      </x:c>
      <x:c r="C443" s="2" t="str">
        <x:v>数学プログラム</x:v>
      </x:c>
      <x:c r="D443" s="44" t="n">
        <x:v>2024</x:v>
      </x:c>
      <x:c r="E443" s="27" t="str">
        <x:v>10月入学</x:v>
      </x:c>
      <x:c r="F443" s="27" t="str">
        <x:v>博士課程前期</x:v>
      </x:c>
      <x:c r="G443" s="27" t="str">
        <x:v>全選抜区分合計</x:v>
      </x:c>
      <x:c r="H443" s="27" t="str">
        <x:v>专攻/系</x:v>
      </x:c>
      <x:c r="I443" s="44"/>
      <x:c r="J443" s="44" t="n">
        <x:v>2</x:v>
      </x:c>
      <x:c r="K443" s="44"/>
      <x:c r="L443" s="44" t="n">
        <x:v>0</x:v>
      </x:c>
      <x:c r="M443" s="44" t="n">
        <x:v>0</x:v>
      </x:c>
      <x:c r="N443" s="45" t="str">
        <x:f>IF(AND(J443&lt;&gt;"",L443&lt;&gt;0),J443/L443,"")</x:f>
      </x:c>
      <x:c r="O443" s="45" t="str">
        <x:f>IF(AND(K443&lt;&gt;"",L443&lt;&gt;0),K443/L443,"")</x:f>
      </x:c>
      <x:c r="P443" s="46" t="str">
        <x:f>IF(AND(K443&lt;&gt;"",K443&lt;&gt;0,L443&lt;&gt;""),L443/K443,"")</x:f>
      </x:c>
      <x:c r="Q443" s="46" t="str">
        <x:f>IF(AND(L443&lt;&gt;"",L443&lt;&gt;0,M443&lt;&gt;""),M443/L443,"")</x:f>
      </x:c>
      <x:c r="R443" s="45" t="str">
        <x:f>IF(N443&lt;&gt;"",N443,IF(O443&lt;&gt;"",O443,""))</x:f>
      </x:c>
      <x:c r="S443" s="2" t="str">
        <x:f>IF(N443&lt;&gt;"","志愿/合格",IF(O443&lt;&gt;"","受验/合格",""))</x:f>
      </x:c>
      <x:c r="T443" s="2" t="str">
        <x:v>官方</x:v>
      </x:c>
      <x:c r="U443" s="2" t="str">
        <x:v>高</x:v>
      </x:c>
      <x:c r="V443" s="27" t="str">
        <x:v>先進理工系科学研究科 研究科パンフレット2026</x:v>
      </x:c>
      <x:c r="W443" s="27" t="str">
        <x:v>電子版 p.32「入学試験実施状況」博士課程前期・数学プログラム行</x:v>
      </x:c>
      <x:c r="X443" s="27" t="str">
        <x:v>https://archive2.hiroshima-u.ac.jp/adse/brochure2026/index_h5.html</x:v>
      </x:c>
      <x:c r="Y443" s="27" t="str">
        <x:v>学位プログラム別の公式値。入学定員は専攻全体483人（うち13人は別研究院活用）としてのみ掲載されるため capacity=null。</x:v>
      </x:c>
      <x:c r="Z443" s="47" t="str">
        <x:v>出願者数・合格者数・入学者数。受験者数は掲載なし。</x:v>
      </x:c>
    </x:row>
    <x:row r="444" ht="38" customHeight="1">
      <x:c r="A444" s="2" t="str">
        <x:v>広島大学</x:v>
      </x:c>
      <x:c r="B444" s="2" t="str">
        <x:v>先進理工系科学研究科</x:v>
      </x:c>
      <x:c r="C444" s="2" t="str">
        <x:v>数学プログラム</x:v>
      </x:c>
      <x:c r="D444" s="44" t="n">
        <x:v>2024</x:v>
      </x:c>
      <x:c r="E444" s="27" t="str">
        <x:v>4月入学</x:v>
      </x:c>
      <x:c r="F444" s="27" t="str">
        <x:v>博士課程前期</x:v>
      </x:c>
      <x:c r="G444" s="27" t="str">
        <x:v>全選抜区分合計</x:v>
      </x:c>
      <x:c r="H444" s="27" t="str">
        <x:v>专攻/系</x:v>
      </x:c>
      <x:c r="I444" s="44"/>
      <x:c r="J444" s="44" t="n">
        <x:v>29</x:v>
      </x:c>
      <x:c r="K444" s="44"/>
      <x:c r="L444" s="44" t="n">
        <x:v>22</x:v>
      </x:c>
      <x:c r="M444" s="44" t="n">
        <x:v>21</x:v>
      </x:c>
      <x:c r="N444" s="45" t="n">
        <x:f>IF(AND(J444&lt;&gt;"",L444&lt;&gt;0),J444/L444,"")</x:f>
        <x:v>1.3181818181818181</x:v>
      </x:c>
      <x:c r="O444" s="45" t="str">
        <x:f>IF(AND(K444&lt;&gt;"",L444&lt;&gt;0),K444/L444,"")</x:f>
      </x:c>
      <x:c r="P444" s="46" t="str">
        <x:f>IF(AND(K444&lt;&gt;"",K444&lt;&gt;0,L444&lt;&gt;""),L444/K444,"")</x:f>
      </x:c>
      <x:c r="Q444" s="46" t="n">
        <x:f>IF(AND(L444&lt;&gt;"",L444&lt;&gt;0,M444&lt;&gt;""),M444/L444,"")</x:f>
        <x:v>0.9545454545454546</x:v>
      </x:c>
      <x:c r="R444" s="45" t="n">
        <x:f>IF(N444&lt;&gt;"",N444,IF(O444&lt;&gt;"",O444,""))</x:f>
        <x:v>1.3181818181818181</x:v>
      </x:c>
      <x:c r="S444" s="2" t="str">
        <x:f>IF(N444&lt;&gt;"","志愿/合格",IF(O444&lt;&gt;"","受验/合格",""))</x:f>
        <x:v>志愿/合格</x:v>
      </x:c>
      <x:c r="T444" s="2" t="str">
        <x:v>官方</x:v>
      </x:c>
      <x:c r="U444" s="2" t="str">
        <x:v>高</x:v>
      </x:c>
      <x:c r="V444" s="27" t="str">
        <x:v>先進理工系科学研究科 研究科パンフレット2026</x:v>
      </x:c>
      <x:c r="W444" s="27" t="str">
        <x:v>電子版 p.32「入学試験実施状況」博士課程前期・数学プログラム行</x:v>
      </x:c>
      <x:c r="X444" s="27" t="str">
        <x:v>https://archive2.hiroshima-u.ac.jp/adse/brochure2026/index_h5.html</x:v>
      </x:c>
      <x:c r="Y444" s="27" t="str">
        <x:v>学位プログラム別の公式値。入学定員は専攻全体483人（うち13人は別研究院活用）としてのみ掲載されるため capacity=null。</x:v>
      </x:c>
      <x:c r="Z444" s="47" t="str">
        <x:v>出願者数・合格者数・入学者数。受験者数は掲載なし。</x:v>
      </x:c>
    </x:row>
    <x:row r="445" ht="38" customHeight="1">
      <x:c r="A445" s="2" t="str">
        <x:v>広島大学</x:v>
      </x:c>
      <x:c r="B445" s="2" t="str">
        <x:v>先進理工系科学研究科</x:v>
      </x:c>
      <x:c r="C445" s="2" t="str">
        <x:v>数学プログラム</x:v>
      </x:c>
      <x:c r="D445" s="44" t="n">
        <x:v>2025</x:v>
      </x:c>
      <x:c r="E445" s="27" t="str">
        <x:v>10月入学</x:v>
      </x:c>
      <x:c r="F445" s="27" t="str">
        <x:v>博士課程前期</x:v>
      </x:c>
      <x:c r="G445" s="27" t="str">
        <x:v>全選抜区分合計</x:v>
      </x:c>
      <x:c r="H445" s="27" t="str">
        <x:v>专攻/系</x:v>
      </x:c>
      <x:c r="I445" s="44"/>
      <x:c r="J445" s="44" t="n">
        <x:v>0</x:v>
      </x:c>
      <x:c r="K445" s="44"/>
      <x:c r="L445" s="44" t="n">
        <x:v>0</x:v>
      </x:c>
      <x:c r="M445" s="44" t="n">
        <x:v>0</x:v>
      </x:c>
      <x:c r="N445" s="45" t="str">
        <x:f>IF(AND(J445&lt;&gt;"",L445&lt;&gt;0),J445/L445,"")</x:f>
      </x:c>
      <x:c r="O445" s="45" t="str">
        <x:f>IF(AND(K445&lt;&gt;"",L445&lt;&gt;0),K445/L445,"")</x:f>
      </x:c>
      <x:c r="P445" s="46" t="str">
        <x:f>IF(AND(K445&lt;&gt;"",K445&lt;&gt;0,L445&lt;&gt;""),L445/K445,"")</x:f>
      </x:c>
      <x:c r="Q445" s="46" t="str">
        <x:f>IF(AND(L445&lt;&gt;"",L445&lt;&gt;0,M445&lt;&gt;""),M445/L445,"")</x:f>
      </x:c>
      <x:c r="R445" s="45" t="str">
        <x:f>IF(N445&lt;&gt;"",N445,IF(O445&lt;&gt;"",O445,""))</x:f>
      </x:c>
      <x:c r="S445" s="2" t="str">
        <x:f>IF(N445&lt;&gt;"","志愿/合格",IF(O445&lt;&gt;"","受验/合格",""))</x:f>
      </x:c>
      <x:c r="T445" s="2" t="str">
        <x:v>官方</x:v>
      </x:c>
      <x:c r="U445" s="2" t="str">
        <x:v>高</x:v>
      </x:c>
      <x:c r="V445" s="27" t="str">
        <x:v>先進理工系科学研究科 研究科パンフレット2026</x:v>
      </x:c>
      <x:c r="W445" s="27" t="str">
        <x:v>電子版 p.32「入学試験実施状況」博士課程前期・数学プログラム行</x:v>
      </x:c>
      <x:c r="X445" s="27" t="str">
        <x:v>https://archive2.hiroshima-u.ac.jp/adse/brochure2026/index_h5.html</x:v>
      </x:c>
      <x:c r="Y445" s="27" t="str">
        <x:v>学位プログラム別の公式値。入学定員は専攻全体483人（うち13人は別研究院活用）としてのみ掲載されるため capacity=null。</x:v>
      </x:c>
      <x:c r="Z445" s="47" t="str">
        <x:v>出願者数・合格者数・入学者数。受験者数は掲載なし。</x:v>
      </x:c>
    </x:row>
    <x:row r="446" ht="38" customHeight="1">
      <x:c r="A446" s="2" t="str">
        <x:v>広島大学</x:v>
      </x:c>
      <x:c r="B446" s="2" t="str">
        <x:v>先進理工系科学研究科</x:v>
      </x:c>
      <x:c r="C446" s="2" t="str">
        <x:v>数学プログラム</x:v>
      </x:c>
      <x:c r="D446" s="44" t="n">
        <x:v>2025</x:v>
      </x:c>
      <x:c r="E446" s="27" t="str">
        <x:v>4月入学</x:v>
      </x:c>
      <x:c r="F446" s="27" t="str">
        <x:v>博士課程前期</x:v>
      </x:c>
      <x:c r="G446" s="27" t="str">
        <x:v>全選抜区分合計</x:v>
      </x:c>
      <x:c r="H446" s="27" t="str">
        <x:v>专攻/系</x:v>
      </x:c>
      <x:c r="I446" s="44"/>
      <x:c r="J446" s="44" t="n">
        <x:v>22</x:v>
      </x:c>
      <x:c r="K446" s="44"/>
      <x:c r="L446" s="44" t="n">
        <x:v>20</x:v>
      </x:c>
      <x:c r="M446" s="44" t="n">
        <x:v>19</x:v>
      </x:c>
      <x:c r="N446" s="45" t="n">
        <x:f>IF(AND(J446&lt;&gt;"",L446&lt;&gt;0),J446/L446,"")</x:f>
        <x:v>1.1</x:v>
      </x:c>
      <x:c r="O446" s="45" t="str">
        <x:f>IF(AND(K446&lt;&gt;"",L446&lt;&gt;0),K446/L446,"")</x:f>
      </x:c>
      <x:c r="P446" s="46" t="str">
        <x:f>IF(AND(K446&lt;&gt;"",K446&lt;&gt;0,L446&lt;&gt;""),L446/K446,"")</x:f>
      </x:c>
      <x:c r="Q446" s="46" t="n">
        <x:f>IF(AND(L446&lt;&gt;"",L446&lt;&gt;0,M446&lt;&gt;""),M446/L446,"")</x:f>
        <x:v>0.95</x:v>
      </x:c>
      <x:c r="R446" s="45" t="n">
        <x:f>IF(N446&lt;&gt;"",N446,IF(O446&lt;&gt;"",O446,""))</x:f>
        <x:v>1.1</x:v>
      </x:c>
      <x:c r="S446" s="2" t="str">
        <x:f>IF(N446&lt;&gt;"","志愿/合格",IF(O446&lt;&gt;"","受验/合格",""))</x:f>
        <x:v>志愿/合格</x:v>
      </x:c>
      <x:c r="T446" s="2" t="str">
        <x:v>官方</x:v>
      </x:c>
      <x:c r="U446" s="2" t="str">
        <x:v>高</x:v>
      </x:c>
      <x:c r="V446" s="27" t="str">
        <x:v>先進理工系科学研究科 研究科パンフレット2026</x:v>
      </x:c>
      <x:c r="W446" s="27" t="str">
        <x:v>電子版 p.32「入学試験実施状況」博士課程前期・数学プログラム行</x:v>
      </x:c>
      <x:c r="X446" s="27" t="str">
        <x:v>https://archive2.hiroshima-u.ac.jp/adse/brochure2026/index_h5.html</x:v>
      </x:c>
      <x:c r="Y446" s="27" t="str">
        <x:v>学位プログラム別の公式値。入学定員は専攻全体483人（うち13人は別研究院活用）としてのみ掲載されるため capacity=null。</x:v>
      </x:c>
      <x:c r="Z446" s="47" t="str">
        <x:v>出願者数・合格者数・入学者数。受験者数は掲載なし。</x:v>
      </x:c>
    </x:row>
    <x:row r="447" ht="38" customHeight="1">
      <x:c r="A447" s="2" t="str">
        <x:v>広島大学</x:v>
      </x:c>
      <x:c r="B447" s="2" t="str">
        <x:v>先進理工系科学研究科</x:v>
      </x:c>
      <x:c r="C447" s="2" t="str">
        <x:v>数学プログラム</x:v>
      </x:c>
      <x:c r="D447" s="44" t="n">
        <x:v>2026</x:v>
      </x:c>
      <x:c r="E447" s="27" t="str">
        <x:v>4月入学</x:v>
      </x:c>
      <x:c r="F447" s="27" t="str">
        <x:v>博士課程前期</x:v>
      </x:c>
      <x:c r="G447" s="27" t="str">
        <x:v>全選抜区分合計</x:v>
      </x:c>
      <x:c r="H447" s="27" t="str">
        <x:v>专攻/系</x:v>
      </x:c>
      <x:c r="I447" s="44"/>
      <x:c r="J447" s="44" t="n">
        <x:v>28</x:v>
      </x:c>
      <x:c r="K447" s="44"/>
      <x:c r="L447" s="44" t="n">
        <x:v>22</x:v>
      </x:c>
      <x:c r="M447" s="44" t="n">
        <x:v>21</x:v>
      </x:c>
      <x:c r="N447" s="45" t="n">
        <x:f>IF(AND(J447&lt;&gt;"",L447&lt;&gt;0),J447/L447,"")</x:f>
        <x:v>1.2727272727272727</x:v>
      </x:c>
      <x:c r="O447" s="45" t="str">
        <x:f>IF(AND(K447&lt;&gt;"",L447&lt;&gt;0),K447/L447,"")</x:f>
      </x:c>
      <x:c r="P447" s="46" t="str">
        <x:f>IF(AND(K447&lt;&gt;"",K447&lt;&gt;0,L447&lt;&gt;""),L447/K447,"")</x:f>
      </x:c>
      <x:c r="Q447" s="46" t="n">
        <x:f>IF(AND(L447&lt;&gt;"",L447&lt;&gt;0,M447&lt;&gt;""),M447/L447,"")</x:f>
        <x:v>0.9545454545454546</x:v>
      </x:c>
      <x:c r="R447" s="45" t="n">
        <x:f>IF(N447&lt;&gt;"",N447,IF(O447&lt;&gt;"",O447,""))</x:f>
        <x:v>1.2727272727272727</x:v>
      </x:c>
      <x:c r="S447" s="2" t="str">
        <x:f>IF(N447&lt;&gt;"","志愿/合格",IF(O447&lt;&gt;"","受验/合格",""))</x:f>
        <x:v>志愿/合格</x:v>
      </x:c>
      <x:c r="T447" s="2" t="str">
        <x:v>官方</x:v>
      </x:c>
      <x:c r="U447" s="2" t="str">
        <x:v>高</x:v>
      </x:c>
      <x:c r="V447" s="27" t="str">
        <x:v>先進理工系科学研究科 研究科パンフレット2026</x:v>
      </x:c>
      <x:c r="W447" s="27" t="str">
        <x:v>電子版 p.32「入学試験実施状況」博士課程前期・数学プログラム行</x:v>
      </x:c>
      <x:c r="X447" s="27" t="str">
        <x:v>https://archive2.hiroshima-u.ac.jp/adse/brochure2026/index_h5.html</x:v>
      </x:c>
      <x:c r="Y447" s="27" t="str">
        <x:v>学位プログラム別の公式値。入学定員は専攻全体483人（うち13人は別研究院活用）としてのみ掲載されるため capacity=null。</x:v>
      </x:c>
      <x:c r="Z447" s="47" t="str">
        <x:v>出願者数・合格者数・入学者数。受験者数は掲載なし。</x:v>
      </x:c>
    </x:row>
    <x:row r="448" ht="38" customHeight="1">
      <x:c r="A448" s="2" t="str">
        <x:v>広島大学</x:v>
      </x:c>
      <x:c r="B448" s="2" t="str">
        <x:v>先進理工系科学研究科</x:v>
      </x:c>
      <x:c r="C448" s="2" t="str">
        <x:v>電気システム制御プログラム</x:v>
      </x:c>
      <x:c r="D448" s="44" t="n">
        <x:v>2023</x:v>
      </x:c>
      <x:c r="E448" s="27" t="str">
        <x:v>10月入学</x:v>
      </x:c>
      <x:c r="F448" s="27" t="str">
        <x:v>博士課程前期</x:v>
      </x:c>
      <x:c r="G448" s="27" t="str">
        <x:v>全選抜区分合計</x:v>
      </x:c>
      <x:c r="H448" s="27" t="str">
        <x:v>专攻/系</x:v>
      </x:c>
      <x:c r="I448" s="44"/>
      <x:c r="J448" s="44" t="n">
        <x:v>1</x:v>
      </x:c>
      <x:c r="K448" s="44"/>
      <x:c r="L448" s="44" t="n">
        <x:v>1</x:v>
      </x:c>
      <x:c r="M448" s="44" t="n">
        <x:v>1</x:v>
      </x:c>
      <x:c r="N448" s="45" t="n">
        <x:f>IF(AND(J448&lt;&gt;"",L448&lt;&gt;0),J448/L448,"")</x:f>
        <x:v>1</x:v>
      </x:c>
      <x:c r="O448" s="45" t="str">
        <x:f>IF(AND(K448&lt;&gt;"",L448&lt;&gt;0),K448/L448,"")</x:f>
      </x:c>
      <x:c r="P448" s="46" t="str">
        <x:f>IF(AND(K448&lt;&gt;"",K448&lt;&gt;0,L448&lt;&gt;""),L448/K448,"")</x:f>
      </x:c>
      <x:c r="Q448" s="46" t="n">
        <x:f>IF(AND(L448&lt;&gt;"",L448&lt;&gt;0,M448&lt;&gt;""),M448/L448,"")</x:f>
        <x:v>1</x:v>
      </x:c>
      <x:c r="R448" s="45" t="n">
        <x:f>IF(N448&lt;&gt;"",N448,IF(O448&lt;&gt;"",O448,""))</x:f>
        <x:v>1</x:v>
      </x:c>
      <x:c r="S448" s="2" t="str">
        <x:f>IF(N448&lt;&gt;"","志愿/合格",IF(O448&lt;&gt;"","受验/合格",""))</x:f>
        <x:v>志愿/合格</x:v>
      </x:c>
      <x:c r="T448" s="2" t="str">
        <x:v>官方</x:v>
      </x:c>
      <x:c r="U448" s="2" t="str">
        <x:v>高</x:v>
      </x:c>
      <x:c r="V448" s="27" t="str">
        <x:v>先進理工系科学研究科 研究科パンフレット2026</x:v>
      </x:c>
      <x:c r="W448" s="27" t="str">
        <x:v>電子版 p.32「入学試験実施状況」博士課程前期・電気システム制御プログラム行</x:v>
      </x:c>
      <x:c r="X448" s="27" t="str">
        <x:v>https://archive2.hiroshima-u.ac.jp/adse/brochure2026/index_h5.html</x:v>
      </x:c>
      <x:c r="Y448" s="27" t="str">
        <x:v>学位プログラム別の公式値。入学定員は専攻全体483人（うち13人は別研究院活用）としてのみ掲載されるため capacity=null。</x:v>
      </x:c>
      <x:c r="Z448" s="47" t="str">
        <x:v>出願者数・合格者数・入学者数。受験者数は掲載なし。</x:v>
      </x:c>
    </x:row>
    <x:row r="449" ht="38" customHeight="1">
      <x:c r="A449" s="2" t="str">
        <x:v>広島大学</x:v>
      </x:c>
      <x:c r="B449" s="2" t="str">
        <x:v>先進理工系科学研究科</x:v>
      </x:c>
      <x:c r="C449" s="2" t="str">
        <x:v>電気システム制御プログラム</x:v>
      </x:c>
      <x:c r="D449" s="44" t="n">
        <x:v>2023</x:v>
      </x:c>
      <x:c r="E449" s="27" t="str">
        <x:v>4月入学</x:v>
      </x:c>
      <x:c r="F449" s="27" t="str">
        <x:v>博士課程前期</x:v>
      </x:c>
      <x:c r="G449" s="27" t="str">
        <x:v>全選抜区分合計</x:v>
      </x:c>
      <x:c r="H449" s="27" t="str">
        <x:v>专攻/系</x:v>
      </x:c>
      <x:c r="I449" s="44"/>
      <x:c r="J449" s="44" t="n">
        <x:v>34</x:v>
      </x:c>
      <x:c r="K449" s="44"/>
      <x:c r="L449" s="44" t="n">
        <x:v>33</x:v>
      </x:c>
      <x:c r="M449" s="44" t="n">
        <x:v>33</x:v>
      </x:c>
      <x:c r="N449" s="45" t="n">
        <x:f>IF(AND(J449&lt;&gt;"",L449&lt;&gt;0),J449/L449,"")</x:f>
        <x:v>1.0303030303030303</x:v>
      </x:c>
      <x:c r="O449" s="45" t="str">
        <x:f>IF(AND(K449&lt;&gt;"",L449&lt;&gt;0),K449/L449,"")</x:f>
      </x:c>
      <x:c r="P449" s="46" t="str">
        <x:f>IF(AND(K449&lt;&gt;"",K449&lt;&gt;0,L449&lt;&gt;""),L449/K449,"")</x:f>
      </x:c>
      <x:c r="Q449" s="46" t="n">
        <x:f>IF(AND(L449&lt;&gt;"",L449&lt;&gt;0,M449&lt;&gt;""),M449/L449,"")</x:f>
        <x:v>1</x:v>
      </x:c>
      <x:c r="R449" s="45" t="n">
        <x:f>IF(N449&lt;&gt;"",N449,IF(O449&lt;&gt;"",O449,""))</x:f>
        <x:v>1.0303030303030303</x:v>
      </x:c>
      <x:c r="S449" s="2" t="str">
        <x:f>IF(N449&lt;&gt;"","志愿/合格",IF(O449&lt;&gt;"","受验/合格",""))</x:f>
        <x:v>志愿/合格</x:v>
      </x:c>
      <x:c r="T449" s="2" t="str">
        <x:v>官方</x:v>
      </x:c>
      <x:c r="U449" s="2" t="str">
        <x:v>高</x:v>
      </x:c>
      <x:c r="V449" s="27" t="str">
        <x:v>先進理工系科学研究科 研究科パンフレット2026</x:v>
      </x:c>
      <x:c r="W449" s="27" t="str">
        <x:v>電子版 p.32「入学試験実施状況」博士課程前期・電気システム制御プログラム行</x:v>
      </x:c>
      <x:c r="X449" s="27" t="str">
        <x:v>https://archive2.hiroshima-u.ac.jp/adse/brochure2026/index_h5.html</x:v>
      </x:c>
      <x:c r="Y449" s="27" t="str">
        <x:v>学位プログラム別の公式値。入学定員は専攻全体483人（うち13人は別研究院活用）としてのみ掲載されるため capacity=null。</x:v>
      </x:c>
      <x:c r="Z449" s="47" t="str">
        <x:v>出願者数・合格者数・入学者数。受験者数は掲載なし。</x:v>
      </x:c>
    </x:row>
    <x:row r="450" ht="38" customHeight="1">
      <x:c r="A450" s="2" t="str">
        <x:v>広島大学</x:v>
      </x:c>
      <x:c r="B450" s="2" t="str">
        <x:v>先進理工系科学研究科</x:v>
      </x:c>
      <x:c r="C450" s="2" t="str">
        <x:v>電気システム制御プログラム</x:v>
      </x:c>
      <x:c r="D450" s="44" t="n">
        <x:v>2024</x:v>
      </x:c>
      <x:c r="E450" s="27" t="str">
        <x:v>10月入学</x:v>
      </x:c>
      <x:c r="F450" s="27" t="str">
        <x:v>博士課程前期</x:v>
      </x:c>
      <x:c r="G450" s="27" t="str">
        <x:v>全選抜区分合計</x:v>
      </x:c>
      <x:c r="H450" s="27" t="str">
        <x:v>专攻/系</x:v>
      </x:c>
      <x:c r="I450" s="44"/>
      <x:c r="J450" s="44" t="n">
        <x:v>1</x:v>
      </x:c>
      <x:c r="K450" s="44"/>
      <x:c r="L450" s="44" t="n">
        <x:v>0</x:v>
      </x:c>
      <x:c r="M450" s="44" t="n">
        <x:v>0</x:v>
      </x:c>
      <x:c r="N450" s="45" t="str">
        <x:f>IF(AND(J450&lt;&gt;"",L450&lt;&gt;0),J450/L450,"")</x:f>
      </x:c>
      <x:c r="O450" s="45" t="str">
        <x:f>IF(AND(K450&lt;&gt;"",L450&lt;&gt;0),K450/L450,"")</x:f>
      </x:c>
      <x:c r="P450" s="46" t="str">
        <x:f>IF(AND(K450&lt;&gt;"",K450&lt;&gt;0,L450&lt;&gt;""),L450/K450,"")</x:f>
      </x:c>
      <x:c r="Q450" s="46" t="str">
        <x:f>IF(AND(L450&lt;&gt;"",L450&lt;&gt;0,M450&lt;&gt;""),M450/L450,"")</x:f>
      </x:c>
      <x:c r="R450" s="45" t="str">
        <x:f>IF(N450&lt;&gt;"",N450,IF(O450&lt;&gt;"",O450,""))</x:f>
      </x:c>
      <x:c r="S450" s="2" t="str">
        <x:f>IF(N450&lt;&gt;"","志愿/合格",IF(O450&lt;&gt;"","受验/合格",""))</x:f>
      </x:c>
      <x:c r="T450" s="2" t="str">
        <x:v>官方</x:v>
      </x:c>
      <x:c r="U450" s="2" t="str">
        <x:v>高</x:v>
      </x:c>
      <x:c r="V450" s="27" t="str">
        <x:v>先進理工系科学研究科 研究科パンフレット2026</x:v>
      </x:c>
      <x:c r="W450" s="27" t="str">
        <x:v>電子版 p.32「入学試験実施状況」博士課程前期・電気システム制御プログラム行</x:v>
      </x:c>
      <x:c r="X450" s="27" t="str">
        <x:v>https://archive2.hiroshima-u.ac.jp/adse/brochure2026/index_h5.html</x:v>
      </x:c>
      <x:c r="Y450" s="27" t="str">
        <x:v>学位プログラム別の公式値。入学定員は専攻全体483人（うち13人は別研究院活用）としてのみ掲載されるため capacity=null。</x:v>
      </x:c>
      <x:c r="Z450" s="47" t="str">
        <x:v>出願者数・合格者数・入学者数。受験者数は掲載なし。</x:v>
      </x:c>
    </x:row>
    <x:row r="451" ht="38" customHeight="1">
      <x:c r="A451" s="2" t="str">
        <x:v>広島大学</x:v>
      </x:c>
      <x:c r="B451" s="2" t="str">
        <x:v>先進理工系科学研究科</x:v>
      </x:c>
      <x:c r="C451" s="2" t="str">
        <x:v>電気システム制御プログラム</x:v>
      </x:c>
      <x:c r="D451" s="44" t="n">
        <x:v>2024</x:v>
      </x:c>
      <x:c r="E451" s="27" t="str">
        <x:v>4月入学</x:v>
      </x:c>
      <x:c r="F451" s="27" t="str">
        <x:v>博士課程前期</x:v>
      </x:c>
      <x:c r="G451" s="27" t="str">
        <x:v>全選抜区分合計</x:v>
      </x:c>
      <x:c r="H451" s="27" t="str">
        <x:v>专攻/系</x:v>
      </x:c>
      <x:c r="I451" s="44"/>
      <x:c r="J451" s="44" t="n">
        <x:v>37</x:v>
      </x:c>
      <x:c r="K451" s="44"/>
      <x:c r="L451" s="44" t="n">
        <x:v>37</x:v>
      </x:c>
      <x:c r="M451" s="44" t="n">
        <x:v>36</x:v>
      </x:c>
      <x:c r="N451" s="45" t="n">
        <x:f>IF(AND(J451&lt;&gt;"",L451&lt;&gt;0),J451/L451,"")</x:f>
        <x:v>1</x:v>
      </x:c>
      <x:c r="O451" s="45" t="str">
        <x:f>IF(AND(K451&lt;&gt;"",L451&lt;&gt;0),K451/L451,"")</x:f>
      </x:c>
      <x:c r="P451" s="46" t="str">
        <x:f>IF(AND(K451&lt;&gt;"",K451&lt;&gt;0,L451&lt;&gt;""),L451/K451,"")</x:f>
      </x:c>
      <x:c r="Q451" s="46" t="n">
        <x:f>IF(AND(L451&lt;&gt;"",L451&lt;&gt;0,M451&lt;&gt;""),M451/L451,"")</x:f>
        <x:v>0.972972972972973</x:v>
      </x:c>
      <x:c r="R451" s="45" t="n">
        <x:f>IF(N451&lt;&gt;"",N451,IF(O451&lt;&gt;"",O451,""))</x:f>
        <x:v>1</x:v>
      </x:c>
      <x:c r="S451" s="2" t="str">
        <x:f>IF(N451&lt;&gt;"","志愿/合格",IF(O451&lt;&gt;"","受验/合格",""))</x:f>
        <x:v>志愿/合格</x:v>
      </x:c>
      <x:c r="T451" s="2" t="str">
        <x:v>官方</x:v>
      </x:c>
      <x:c r="U451" s="2" t="str">
        <x:v>高</x:v>
      </x:c>
      <x:c r="V451" s="27" t="str">
        <x:v>先進理工系科学研究科 研究科パンフレット2026</x:v>
      </x:c>
      <x:c r="W451" s="27" t="str">
        <x:v>電子版 p.32「入学試験実施状況」博士課程前期・電気システム制御プログラム行</x:v>
      </x:c>
      <x:c r="X451" s="27" t="str">
        <x:v>https://archive2.hiroshima-u.ac.jp/adse/brochure2026/index_h5.html</x:v>
      </x:c>
      <x:c r="Y451" s="27" t="str">
        <x:v>学位プログラム別の公式値。入学定員は専攻全体483人（うち13人は別研究院活用）としてのみ掲載されるため capacity=null。</x:v>
      </x:c>
      <x:c r="Z451" s="47" t="str">
        <x:v>出願者数・合格者数・入学者数。受験者数は掲載なし。</x:v>
      </x:c>
    </x:row>
    <x:row r="452" ht="38" customHeight="1">
      <x:c r="A452" s="2" t="str">
        <x:v>広島大学</x:v>
      </x:c>
      <x:c r="B452" s="2" t="str">
        <x:v>先進理工系科学研究科</x:v>
      </x:c>
      <x:c r="C452" s="2" t="str">
        <x:v>電気システム制御プログラム</x:v>
      </x:c>
      <x:c r="D452" s="44" t="n">
        <x:v>2025</x:v>
      </x:c>
      <x:c r="E452" s="27" t="str">
        <x:v>10月入学</x:v>
      </x:c>
      <x:c r="F452" s="27" t="str">
        <x:v>博士課程前期</x:v>
      </x:c>
      <x:c r="G452" s="27" t="str">
        <x:v>全選抜区分合計</x:v>
      </x:c>
      <x:c r="H452" s="27" t="str">
        <x:v>专攻/系</x:v>
      </x:c>
      <x:c r="I452" s="44"/>
      <x:c r="J452" s="44" t="n">
        <x:v>5</x:v>
      </x:c>
      <x:c r="K452" s="44"/>
      <x:c r="L452" s="44" t="n">
        <x:v>2</x:v>
      </x:c>
      <x:c r="M452" s="44" t="n">
        <x:v>2</x:v>
      </x:c>
      <x:c r="N452" s="45" t="n">
        <x:f>IF(AND(J452&lt;&gt;"",L452&lt;&gt;0),J452/L452,"")</x:f>
        <x:v>2.5</x:v>
      </x:c>
      <x:c r="O452" s="45" t="str">
        <x:f>IF(AND(K452&lt;&gt;"",L452&lt;&gt;0),K452/L452,"")</x:f>
      </x:c>
      <x:c r="P452" s="46" t="str">
        <x:f>IF(AND(K452&lt;&gt;"",K452&lt;&gt;0,L452&lt;&gt;""),L452/K452,"")</x:f>
      </x:c>
      <x:c r="Q452" s="46" t="n">
        <x:f>IF(AND(L452&lt;&gt;"",L452&lt;&gt;0,M452&lt;&gt;""),M452/L452,"")</x:f>
        <x:v>1</x:v>
      </x:c>
      <x:c r="R452" s="45" t="n">
        <x:f>IF(N452&lt;&gt;"",N452,IF(O452&lt;&gt;"",O452,""))</x:f>
        <x:v>2.5</x:v>
      </x:c>
      <x:c r="S452" s="2" t="str">
        <x:f>IF(N452&lt;&gt;"","志愿/合格",IF(O452&lt;&gt;"","受验/合格",""))</x:f>
        <x:v>志愿/合格</x:v>
      </x:c>
      <x:c r="T452" s="2" t="str">
        <x:v>官方</x:v>
      </x:c>
      <x:c r="U452" s="2" t="str">
        <x:v>高</x:v>
      </x:c>
      <x:c r="V452" s="27" t="str">
        <x:v>先進理工系科学研究科 研究科パンフレット2026</x:v>
      </x:c>
      <x:c r="W452" s="27" t="str">
        <x:v>電子版 p.32「入学試験実施状況」博士課程前期・電気システム制御プログラム行</x:v>
      </x:c>
      <x:c r="X452" s="27" t="str">
        <x:v>https://archive2.hiroshima-u.ac.jp/adse/brochure2026/index_h5.html</x:v>
      </x:c>
      <x:c r="Y452" s="27" t="str">
        <x:v>学位プログラム別の公式値。入学定員は専攻全体483人（うち13人は別研究院活用）としてのみ掲載されるため capacity=null。</x:v>
      </x:c>
      <x:c r="Z452" s="47" t="str">
        <x:v>出願者数・合格者数・入学者数。受験者数は掲載なし。</x:v>
      </x:c>
    </x:row>
    <x:row r="453" ht="38" customHeight="1">
      <x:c r="A453" s="2" t="str">
        <x:v>広島大学</x:v>
      </x:c>
      <x:c r="B453" s="2" t="str">
        <x:v>先進理工系科学研究科</x:v>
      </x:c>
      <x:c r="C453" s="2" t="str">
        <x:v>電気システム制御プログラム</x:v>
      </x:c>
      <x:c r="D453" s="44" t="n">
        <x:v>2025</x:v>
      </x:c>
      <x:c r="E453" s="27" t="str">
        <x:v>4月入学</x:v>
      </x:c>
      <x:c r="F453" s="27" t="str">
        <x:v>博士課程前期</x:v>
      </x:c>
      <x:c r="G453" s="27" t="str">
        <x:v>全選抜区分合計</x:v>
      </x:c>
      <x:c r="H453" s="27" t="str">
        <x:v>专攻/系</x:v>
      </x:c>
      <x:c r="I453" s="44"/>
      <x:c r="J453" s="44" t="n">
        <x:v>36</x:v>
      </x:c>
      <x:c r="K453" s="44"/>
      <x:c r="L453" s="44" t="n">
        <x:v>33</x:v>
      </x:c>
      <x:c r="M453" s="44" t="n">
        <x:v>32</x:v>
      </x:c>
      <x:c r="N453" s="45" t="n">
        <x:f>IF(AND(J453&lt;&gt;"",L453&lt;&gt;0),J453/L453,"")</x:f>
        <x:v>1.0909090909090908</x:v>
      </x:c>
      <x:c r="O453" s="45" t="str">
        <x:f>IF(AND(K453&lt;&gt;"",L453&lt;&gt;0),K453/L453,"")</x:f>
      </x:c>
      <x:c r="P453" s="46" t="str">
        <x:f>IF(AND(K453&lt;&gt;"",K453&lt;&gt;0,L453&lt;&gt;""),L453/K453,"")</x:f>
      </x:c>
      <x:c r="Q453" s="46" t="n">
        <x:f>IF(AND(L453&lt;&gt;"",L453&lt;&gt;0,M453&lt;&gt;""),M453/L453,"")</x:f>
        <x:v>0.9696969696969697</x:v>
      </x:c>
      <x:c r="R453" s="45" t="n">
        <x:f>IF(N453&lt;&gt;"",N453,IF(O453&lt;&gt;"",O453,""))</x:f>
        <x:v>1.0909090909090908</x:v>
      </x:c>
      <x:c r="S453" s="2" t="str">
        <x:f>IF(N453&lt;&gt;"","志愿/合格",IF(O453&lt;&gt;"","受验/合格",""))</x:f>
        <x:v>志愿/合格</x:v>
      </x:c>
      <x:c r="T453" s="2" t="str">
        <x:v>官方</x:v>
      </x:c>
      <x:c r="U453" s="2" t="str">
        <x:v>高</x:v>
      </x:c>
      <x:c r="V453" s="27" t="str">
        <x:v>先進理工系科学研究科 研究科パンフレット2026</x:v>
      </x:c>
      <x:c r="W453" s="27" t="str">
        <x:v>電子版 p.32「入学試験実施状況」博士課程前期・電気システム制御プログラム行</x:v>
      </x:c>
      <x:c r="X453" s="27" t="str">
        <x:v>https://archive2.hiroshima-u.ac.jp/adse/brochure2026/index_h5.html</x:v>
      </x:c>
      <x:c r="Y453" s="27" t="str">
        <x:v>学位プログラム別の公式値。入学定員は専攻全体483人（うち13人は別研究院活用）としてのみ掲載されるため capacity=null。</x:v>
      </x:c>
      <x:c r="Z453" s="47" t="str">
        <x:v>出願者数・合格者数・入学者数。受験者数は掲載なし。</x:v>
      </x:c>
    </x:row>
    <x:row r="454" ht="38" customHeight="1">
      <x:c r="A454" s="2" t="str">
        <x:v>広島大学</x:v>
      </x:c>
      <x:c r="B454" s="2" t="str">
        <x:v>先進理工系科学研究科</x:v>
      </x:c>
      <x:c r="C454" s="2" t="str">
        <x:v>電気システム制御プログラム</x:v>
      </x:c>
      <x:c r="D454" s="44" t="n">
        <x:v>2026</x:v>
      </x:c>
      <x:c r="E454" s="27" t="str">
        <x:v>4月入学</x:v>
      </x:c>
      <x:c r="F454" s="27" t="str">
        <x:v>博士課程前期</x:v>
      </x:c>
      <x:c r="G454" s="27" t="str">
        <x:v>全選抜区分合計</x:v>
      </x:c>
      <x:c r="H454" s="27" t="str">
        <x:v>专攻/系</x:v>
      </x:c>
      <x:c r="I454" s="44"/>
      <x:c r="J454" s="44" t="n">
        <x:v>36</x:v>
      </x:c>
      <x:c r="K454" s="44"/>
      <x:c r="L454" s="44" t="n">
        <x:v>33</x:v>
      </x:c>
      <x:c r="M454" s="44" t="n">
        <x:v>26</x:v>
      </x:c>
      <x:c r="N454" s="45" t="n">
        <x:f>IF(AND(J454&lt;&gt;"",L454&lt;&gt;0),J454/L454,"")</x:f>
        <x:v>1.0909090909090908</x:v>
      </x:c>
      <x:c r="O454" s="45" t="str">
        <x:f>IF(AND(K454&lt;&gt;"",L454&lt;&gt;0),K454/L454,"")</x:f>
      </x:c>
      <x:c r="P454" s="46" t="str">
        <x:f>IF(AND(K454&lt;&gt;"",K454&lt;&gt;0,L454&lt;&gt;""),L454/K454,"")</x:f>
      </x:c>
      <x:c r="Q454" s="46" t="n">
        <x:f>IF(AND(L454&lt;&gt;"",L454&lt;&gt;0,M454&lt;&gt;""),M454/L454,"")</x:f>
        <x:v>0.7878787878787878</x:v>
      </x:c>
      <x:c r="R454" s="45" t="n">
        <x:f>IF(N454&lt;&gt;"",N454,IF(O454&lt;&gt;"",O454,""))</x:f>
        <x:v>1.0909090909090908</x:v>
      </x:c>
      <x:c r="S454" s="2" t="str">
        <x:f>IF(N454&lt;&gt;"","志愿/合格",IF(O454&lt;&gt;"","受验/合格",""))</x:f>
        <x:v>志愿/合格</x:v>
      </x:c>
      <x:c r="T454" s="2" t="str">
        <x:v>官方</x:v>
      </x:c>
      <x:c r="U454" s="2" t="str">
        <x:v>高</x:v>
      </x:c>
      <x:c r="V454" s="27" t="str">
        <x:v>先進理工系科学研究科 研究科パンフレット2026</x:v>
      </x:c>
      <x:c r="W454" s="27" t="str">
        <x:v>電子版 p.32「入学試験実施状況」博士課程前期・電気システム制御プログラム行</x:v>
      </x:c>
      <x:c r="X454" s="27" t="str">
        <x:v>https://archive2.hiroshima-u.ac.jp/adse/brochure2026/index_h5.html</x:v>
      </x:c>
      <x:c r="Y454" s="27" t="str">
        <x:v>学位プログラム別の公式値。入学定員は専攻全体483人（うち13人は別研究院活用）としてのみ掲載されるため capacity=null。</x:v>
      </x:c>
      <x:c r="Z454" s="47" t="str">
        <x:v>出願者数・合格者数・入学者数。受験者数は掲載なし。</x:v>
      </x:c>
    </x:row>
    <x:row r="455" ht="38" customHeight="1">
      <x:c r="A455" s="2" t="str">
        <x:v>広島大学</x:v>
      </x:c>
      <x:c r="B455" s="2" t="str">
        <x:v>先進理工系科学研究科</x:v>
      </x:c>
      <x:c r="C455" s="2" t="str">
        <x:v>物理学プログラム</x:v>
      </x:c>
      <x:c r="D455" s="44" t="n">
        <x:v>2023</x:v>
      </x:c>
      <x:c r="E455" s="27" t="str">
        <x:v>10月入学</x:v>
      </x:c>
      <x:c r="F455" s="27" t="str">
        <x:v>博士課程前期</x:v>
      </x:c>
      <x:c r="G455" s="27" t="str">
        <x:v>全選抜区分合計</x:v>
      </x:c>
      <x:c r="H455" s="27" t="str">
        <x:v>专攻/系</x:v>
      </x:c>
      <x:c r="I455" s="44"/>
      <x:c r="J455" s="44" t="n">
        <x:v>1</x:v>
      </x:c>
      <x:c r="K455" s="44"/>
      <x:c r="L455" s="44" t="n">
        <x:v>1</x:v>
      </x:c>
      <x:c r="M455" s="44" t="n">
        <x:v>1</x:v>
      </x:c>
      <x:c r="N455" s="45" t="n">
        <x:f>IF(AND(J455&lt;&gt;"",L455&lt;&gt;0),J455/L455,"")</x:f>
        <x:v>1</x:v>
      </x:c>
      <x:c r="O455" s="45" t="str">
        <x:f>IF(AND(K455&lt;&gt;"",L455&lt;&gt;0),K455/L455,"")</x:f>
      </x:c>
      <x:c r="P455" s="46" t="str">
        <x:f>IF(AND(K455&lt;&gt;"",K455&lt;&gt;0,L455&lt;&gt;""),L455/K455,"")</x:f>
      </x:c>
      <x:c r="Q455" s="46" t="n">
        <x:f>IF(AND(L455&lt;&gt;"",L455&lt;&gt;0,M455&lt;&gt;""),M455/L455,"")</x:f>
        <x:v>1</x:v>
      </x:c>
      <x:c r="R455" s="45" t="n">
        <x:f>IF(N455&lt;&gt;"",N455,IF(O455&lt;&gt;"",O455,""))</x:f>
        <x:v>1</x:v>
      </x:c>
      <x:c r="S455" s="2" t="str">
        <x:f>IF(N455&lt;&gt;"","志愿/合格",IF(O455&lt;&gt;"","受验/合格",""))</x:f>
        <x:v>志愿/合格</x:v>
      </x:c>
      <x:c r="T455" s="2" t="str">
        <x:v>官方</x:v>
      </x:c>
      <x:c r="U455" s="2" t="str">
        <x:v>高</x:v>
      </x:c>
      <x:c r="V455" s="27" t="str">
        <x:v>先進理工系科学研究科 研究科パンフレット2026</x:v>
      </x:c>
      <x:c r="W455" s="27" t="str">
        <x:v>電子版 p.32「入学試験実施状況」博士課程前期・物理学プログラム行</x:v>
      </x:c>
      <x:c r="X455" s="27" t="str">
        <x:v>https://archive2.hiroshima-u.ac.jp/adse/brochure2026/index_h5.html</x:v>
      </x:c>
      <x:c r="Y455" s="27" t="str">
        <x:v>学位プログラム別の公式値。入学定員は専攻全体483人（うち13人は別研究院活用）としてのみ掲載されるため capacity=null。</x:v>
      </x:c>
      <x:c r="Z455" s="47" t="str">
        <x:v>出願者数・合格者数・入学者数。受験者数は掲載なし。</x:v>
      </x:c>
    </x:row>
    <x:row r="456" ht="38" customHeight="1">
      <x:c r="A456" s="2" t="str">
        <x:v>広島大学</x:v>
      </x:c>
      <x:c r="B456" s="2" t="str">
        <x:v>先進理工系科学研究科</x:v>
      </x:c>
      <x:c r="C456" s="2" t="str">
        <x:v>物理学プログラム</x:v>
      </x:c>
      <x:c r="D456" s="44" t="n">
        <x:v>2023</x:v>
      </x:c>
      <x:c r="E456" s="27" t="str">
        <x:v>4月入学</x:v>
      </x:c>
      <x:c r="F456" s="27" t="str">
        <x:v>博士課程前期</x:v>
      </x:c>
      <x:c r="G456" s="27" t="str">
        <x:v>全選抜区分合計</x:v>
      </x:c>
      <x:c r="H456" s="27" t="str">
        <x:v>专攻/系</x:v>
      </x:c>
      <x:c r="I456" s="44"/>
      <x:c r="J456" s="44" t="n">
        <x:v>37</x:v>
      </x:c>
      <x:c r="K456" s="44"/>
      <x:c r="L456" s="44" t="n">
        <x:v>36</x:v>
      </x:c>
      <x:c r="M456" s="44" t="n">
        <x:v>31</x:v>
      </x:c>
      <x:c r="N456" s="45" t="n">
        <x:f>IF(AND(J456&lt;&gt;"",L456&lt;&gt;0),J456/L456,"")</x:f>
        <x:v>1.0277777777777777</x:v>
      </x:c>
      <x:c r="O456" s="45" t="str">
        <x:f>IF(AND(K456&lt;&gt;"",L456&lt;&gt;0),K456/L456,"")</x:f>
      </x:c>
      <x:c r="P456" s="46" t="str">
        <x:f>IF(AND(K456&lt;&gt;"",K456&lt;&gt;0,L456&lt;&gt;""),L456/K456,"")</x:f>
      </x:c>
      <x:c r="Q456" s="46" t="n">
        <x:f>IF(AND(L456&lt;&gt;"",L456&lt;&gt;0,M456&lt;&gt;""),M456/L456,"")</x:f>
        <x:v>0.8611111111111112</x:v>
      </x:c>
      <x:c r="R456" s="45" t="n">
        <x:f>IF(N456&lt;&gt;"",N456,IF(O456&lt;&gt;"",O456,""))</x:f>
        <x:v>1.0277777777777777</x:v>
      </x:c>
      <x:c r="S456" s="2" t="str">
        <x:f>IF(N456&lt;&gt;"","志愿/合格",IF(O456&lt;&gt;"","受验/合格",""))</x:f>
        <x:v>志愿/合格</x:v>
      </x:c>
      <x:c r="T456" s="2" t="str">
        <x:v>官方</x:v>
      </x:c>
      <x:c r="U456" s="2" t="str">
        <x:v>高</x:v>
      </x:c>
      <x:c r="V456" s="27" t="str">
        <x:v>先進理工系科学研究科 研究科パンフレット2026</x:v>
      </x:c>
      <x:c r="W456" s="27" t="str">
        <x:v>電子版 p.32「入学試験実施状況」博士課程前期・物理学プログラム行</x:v>
      </x:c>
      <x:c r="X456" s="27" t="str">
        <x:v>https://archive2.hiroshima-u.ac.jp/adse/brochure2026/index_h5.html</x:v>
      </x:c>
      <x:c r="Y456" s="27" t="str">
        <x:v>学位プログラム別の公式値。入学定員は専攻全体483人（うち13人は別研究院活用）としてのみ掲載されるため capacity=null。</x:v>
      </x:c>
      <x:c r="Z456" s="47" t="str">
        <x:v>出願者数・合格者数・入学者数。受験者数は掲載なし。</x:v>
      </x:c>
    </x:row>
    <x:row r="457" ht="38" customHeight="1">
      <x:c r="A457" s="2" t="str">
        <x:v>広島大学</x:v>
      </x:c>
      <x:c r="B457" s="2" t="str">
        <x:v>先進理工系科学研究科</x:v>
      </x:c>
      <x:c r="C457" s="2" t="str">
        <x:v>物理学プログラム</x:v>
      </x:c>
      <x:c r="D457" s="44" t="n">
        <x:v>2024</x:v>
      </x:c>
      <x:c r="E457" s="27" t="str">
        <x:v>10月入学</x:v>
      </x:c>
      <x:c r="F457" s="27" t="str">
        <x:v>博士課程前期</x:v>
      </x:c>
      <x:c r="G457" s="27" t="str">
        <x:v>全選抜区分合計</x:v>
      </x:c>
      <x:c r="H457" s="27" t="str">
        <x:v>专攻/系</x:v>
      </x:c>
      <x:c r="I457" s="44"/>
      <x:c r="J457" s="44" t="n">
        <x:v>4</x:v>
      </x:c>
      <x:c r="K457" s="44"/>
      <x:c r="L457" s="44" t="n">
        <x:v>1</x:v>
      </x:c>
      <x:c r="M457" s="44" t="n">
        <x:v>1</x:v>
      </x:c>
      <x:c r="N457" s="45" t="n">
        <x:f>IF(AND(J457&lt;&gt;"",L457&lt;&gt;0),J457/L457,"")</x:f>
        <x:v>4</x:v>
      </x:c>
      <x:c r="O457" s="45" t="str">
        <x:f>IF(AND(K457&lt;&gt;"",L457&lt;&gt;0),K457/L457,"")</x:f>
      </x:c>
      <x:c r="P457" s="46" t="str">
        <x:f>IF(AND(K457&lt;&gt;"",K457&lt;&gt;0,L457&lt;&gt;""),L457/K457,"")</x:f>
      </x:c>
      <x:c r="Q457" s="46" t="n">
        <x:f>IF(AND(L457&lt;&gt;"",L457&lt;&gt;0,M457&lt;&gt;""),M457/L457,"")</x:f>
        <x:v>1</x:v>
      </x:c>
      <x:c r="R457" s="45" t="n">
        <x:f>IF(N457&lt;&gt;"",N457,IF(O457&lt;&gt;"",O457,""))</x:f>
        <x:v>4</x:v>
      </x:c>
      <x:c r="S457" s="2" t="str">
        <x:f>IF(N457&lt;&gt;"","志愿/合格",IF(O457&lt;&gt;"","受验/合格",""))</x:f>
        <x:v>志愿/合格</x:v>
      </x:c>
      <x:c r="T457" s="2" t="str">
        <x:v>官方</x:v>
      </x:c>
      <x:c r="U457" s="2" t="str">
        <x:v>高</x:v>
      </x:c>
      <x:c r="V457" s="27" t="str">
        <x:v>先進理工系科学研究科 研究科パンフレット2026</x:v>
      </x:c>
      <x:c r="W457" s="27" t="str">
        <x:v>電子版 p.32「入学試験実施状況」博士課程前期・物理学プログラム行</x:v>
      </x:c>
      <x:c r="X457" s="27" t="str">
        <x:v>https://archive2.hiroshima-u.ac.jp/adse/brochure2026/index_h5.html</x:v>
      </x:c>
      <x:c r="Y457" s="27" t="str">
        <x:v>学位プログラム別の公式値。入学定員は専攻全体483人（うち13人は別研究院活用）としてのみ掲載されるため capacity=null。</x:v>
      </x:c>
      <x:c r="Z457" s="47" t="str">
        <x:v>出願者数・合格者数・入学者数。受験者数は掲載なし。</x:v>
      </x:c>
    </x:row>
    <x:row r="458" ht="38" customHeight="1">
      <x:c r="A458" s="2" t="str">
        <x:v>広島大学</x:v>
      </x:c>
      <x:c r="B458" s="2" t="str">
        <x:v>先進理工系科学研究科</x:v>
      </x:c>
      <x:c r="C458" s="2" t="str">
        <x:v>物理学プログラム</x:v>
      </x:c>
      <x:c r="D458" s="44" t="n">
        <x:v>2024</x:v>
      </x:c>
      <x:c r="E458" s="27" t="str">
        <x:v>4月入学</x:v>
      </x:c>
      <x:c r="F458" s="27" t="str">
        <x:v>博士課程前期</x:v>
      </x:c>
      <x:c r="G458" s="27" t="str">
        <x:v>全選抜区分合計</x:v>
      </x:c>
      <x:c r="H458" s="27" t="str">
        <x:v>专攻/系</x:v>
      </x:c>
      <x:c r="I458" s="44"/>
      <x:c r="J458" s="44" t="n">
        <x:v>42</x:v>
      </x:c>
      <x:c r="K458" s="44"/>
      <x:c r="L458" s="44" t="n">
        <x:v>39</x:v>
      </x:c>
      <x:c r="M458" s="44" t="n">
        <x:v>37</x:v>
      </x:c>
      <x:c r="N458" s="45" t="n">
        <x:f>IF(AND(J458&lt;&gt;"",L458&lt;&gt;0),J458/L458,"")</x:f>
        <x:v>1.0769230769230769</x:v>
      </x:c>
      <x:c r="O458" s="45" t="str">
        <x:f>IF(AND(K458&lt;&gt;"",L458&lt;&gt;0),K458/L458,"")</x:f>
      </x:c>
      <x:c r="P458" s="46" t="str">
        <x:f>IF(AND(K458&lt;&gt;"",K458&lt;&gt;0,L458&lt;&gt;""),L458/K458,"")</x:f>
      </x:c>
      <x:c r="Q458" s="46" t="n">
        <x:f>IF(AND(L458&lt;&gt;"",L458&lt;&gt;0,M458&lt;&gt;""),M458/L458,"")</x:f>
        <x:v>0.9487179487179487</x:v>
      </x:c>
      <x:c r="R458" s="45" t="n">
        <x:f>IF(N458&lt;&gt;"",N458,IF(O458&lt;&gt;"",O458,""))</x:f>
        <x:v>1.0769230769230769</x:v>
      </x:c>
      <x:c r="S458" s="2" t="str">
        <x:f>IF(N458&lt;&gt;"","志愿/合格",IF(O458&lt;&gt;"","受验/合格",""))</x:f>
        <x:v>志愿/合格</x:v>
      </x:c>
      <x:c r="T458" s="2" t="str">
        <x:v>官方</x:v>
      </x:c>
      <x:c r="U458" s="2" t="str">
        <x:v>高</x:v>
      </x:c>
      <x:c r="V458" s="27" t="str">
        <x:v>先進理工系科学研究科 研究科パンフレット2026</x:v>
      </x:c>
      <x:c r="W458" s="27" t="str">
        <x:v>電子版 p.32「入学試験実施状況」博士課程前期・物理学プログラム行</x:v>
      </x:c>
      <x:c r="X458" s="27" t="str">
        <x:v>https://archive2.hiroshima-u.ac.jp/adse/brochure2026/index_h5.html</x:v>
      </x:c>
      <x:c r="Y458" s="27" t="str">
        <x:v>学位プログラム別の公式値。入学定員は専攻全体483人（うち13人は別研究院活用）としてのみ掲載されるため capacity=null。</x:v>
      </x:c>
      <x:c r="Z458" s="47" t="str">
        <x:v>出願者数・合格者数・入学者数。受験者数は掲載なし。</x:v>
      </x:c>
    </x:row>
    <x:row r="459" ht="38" customHeight="1">
      <x:c r="A459" s="2" t="str">
        <x:v>広島大学</x:v>
      </x:c>
      <x:c r="B459" s="2" t="str">
        <x:v>先進理工系科学研究科</x:v>
      </x:c>
      <x:c r="C459" s="2" t="str">
        <x:v>物理学プログラム</x:v>
      </x:c>
      <x:c r="D459" s="44" t="n">
        <x:v>2025</x:v>
      </x:c>
      <x:c r="E459" s="27" t="str">
        <x:v>10月入学</x:v>
      </x:c>
      <x:c r="F459" s="27" t="str">
        <x:v>博士課程前期</x:v>
      </x:c>
      <x:c r="G459" s="27" t="str">
        <x:v>全選抜区分合計</x:v>
      </x:c>
      <x:c r="H459" s="27" t="str">
        <x:v>专攻/系</x:v>
      </x:c>
      <x:c r="I459" s="44"/>
      <x:c r="J459" s="44" t="n">
        <x:v>0</x:v>
      </x:c>
      <x:c r="K459" s="44"/>
      <x:c r="L459" s="44" t="n">
        <x:v>0</x:v>
      </x:c>
      <x:c r="M459" s="44" t="n">
        <x:v>0</x:v>
      </x:c>
      <x:c r="N459" s="45" t="str">
        <x:f>IF(AND(J459&lt;&gt;"",L459&lt;&gt;0),J459/L459,"")</x:f>
      </x:c>
      <x:c r="O459" s="45" t="str">
        <x:f>IF(AND(K459&lt;&gt;"",L459&lt;&gt;0),K459/L459,"")</x:f>
      </x:c>
      <x:c r="P459" s="46" t="str">
        <x:f>IF(AND(K459&lt;&gt;"",K459&lt;&gt;0,L459&lt;&gt;""),L459/K459,"")</x:f>
      </x:c>
      <x:c r="Q459" s="46" t="str">
        <x:f>IF(AND(L459&lt;&gt;"",L459&lt;&gt;0,M459&lt;&gt;""),M459/L459,"")</x:f>
      </x:c>
      <x:c r="R459" s="45" t="str">
        <x:f>IF(N459&lt;&gt;"",N459,IF(O459&lt;&gt;"",O459,""))</x:f>
      </x:c>
      <x:c r="S459" s="2" t="str">
        <x:f>IF(N459&lt;&gt;"","志愿/合格",IF(O459&lt;&gt;"","受验/合格",""))</x:f>
      </x:c>
      <x:c r="T459" s="2" t="str">
        <x:v>官方</x:v>
      </x:c>
      <x:c r="U459" s="2" t="str">
        <x:v>高</x:v>
      </x:c>
      <x:c r="V459" s="27" t="str">
        <x:v>先進理工系科学研究科 研究科パンフレット2026</x:v>
      </x:c>
      <x:c r="W459" s="27" t="str">
        <x:v>電子版 p.32「入学試験実施状況」博士課程前期・物理学プログラム行</x:v>
      </x:c>
      <x:c r="X459" s="27" t="str">
        <x:v>https://archive2.hiroshima-u.ac.jp/adse/brochure2026/index_h5.html</x:v>
      </x:c>
      <x:c r="Y459" s="27" t="str">
        <x:v>学位プログラム別の公式値。入学定員は専攻全体483人（うち13人は別研究院活用）としてのみ掲載されるため capacity=null。</x:v>
      </x:c>
      <x:c r="Z459" s="47" t="str">
        <x:v>出願者数・合格者数・入学者数。受験者数は掲載なし。</x:v>
      </x:c>
    </x:row>
    <x:row r="460" ht="38" customHeight="1">
      <x:c r="A460" s="2" t="str">
        <x:v>広島大学</x:v>
      </x:c>
      <x:c r="B460" s="2" t="str">
        <x:v>先進理工系科学研究科</x:v>
      </x:c>
      <x:c r="C460" s="2" t="str">
        <x:v>物理学プログラム</x:v>
      </x:c>
      <x:c r="D460" s="44" t="n">
        <x:v>2025</x:v>
      </x:c>
      <x:c r="E460" s="27" t="str">
        <x:v>4月入学</x:v>
      </x:c>
      <x:c r="F460" s="27" t="str">
        <x:v>博士課程前期</x:v>
      </x:c>
      <x:c r="G460" s="27" t="str">
        <x:v>全選抜区分合計</x:v>
      </x:c>
      <x:c r="H460" s="27" t="str">
        <x:v>专攻/系</x:v>
      </x:c>
      <x:c r="I460" s="44"/>
      <x:c r="J460" s="44" t="n">
        <x:v>35</x:v>
      </x:c>
      <x:c r="K460" s="44"/>
      <x:c r="L460" s="44" t="n">
        <x:v>32</x:v>
      </x:c>
      <x:c r="M460" s="44" t="n">
        <x:v>27</x:v>
      </x:c>
      <x:c r="N460" s="45" t="n">
        <x:f>IF(AND(J460&lt;&gt;"",L460&lt;&gt;0),J460/L460,"")</x:f>
        <x:v>1.09375</x:v>
      </x:c>
      <x:c r="O460" s="45" t="str">
        <x:f>IF(AND(K460&lt;&gt;"",L460&lt;&gt;0),K460/L460,"")</x:f>
      </x:c>
      <x:c r="P460" s="46" t="str">
        <x:f>IF(AND(K460&lt;&gt;"",K460&lt;&gt;0,L460&lt;&gt;""),L460/K460,"")</x:f>
      </x:c>
      <x:c r="Q460" s="46" t="n">
        <x:f>IF(AND(L460&lt;&gt;"",L460&lt;&gt;0,M460&lt;&gt;""),M460/L460,"")</x:f>
        <x:v>0.84375</x:v>
      </x:c>
      <x:c r="R460" s="45" t="n">
        <x:f>IF(N460&lt;&gt;"",N460,IF(O460&lt;&gt;"",O460,""))</x:f>
        <x:v>1.09375</x:v>
      </x:c>
      <x:c r="S460" s="2" t="str">
        <x:f>IF(N460&lt;&gt;"","志愿/合格",IF(O460&lt;&gt;"","受验/合格",""))</x:f>
        <x:v>志愿/合格</x:v>
      </x:c>
      <x:c r="T460" s="2" t="str">
        <x:v>官方</x:v>
      </x:c>
      <x:c r="U460" s="2" t="str">
        <x:v>高</x:v>
      </x:c>
      <x:c r="V460" s="27" t="str">
        <x:v>先進理工系科学研究科 研究科パンフレット2026</x:v>
      </x:c>
      <x:c r="W460" s="27" t="str">
        <x:v>電子版 p.32「入学試験実施状況」博士課程前期・物理学プログラム行</x:v>
      </x:c>
      <x:c r="X460" s="27" t="str">
        <x:v>https://archive2.hiroshima-u.ac.jp/adse/brochure2026/index_h5.html</x:v>
      </x:c>
      <x:c r="Y460" s="27" t="str">
        <x:v>学位プログラム別の公式値。入学定員は専攻全体483人（うち13人は別研究院活用）としてのみ掲載されるため capacity=null。</x:v>
      </x:c>
      <x:c r="Z460" s="47" t="str">
        <x:v>出願者数・合格者数・入学者数。受験者数は掲載なし。</x:v>
      </x:c>
    </x:row>
    <x:row r="461" ht="38" customHeight="1">
      <x:c r="A461" s="2" t="str">
        <x:v>広島大学</x:v>
      </x:c>
      <x:c r="B461" s="2" t="str">
        <x:v>先進理工系科学研究科</x:v>
      </x:c>
      <x:c r="C461" s="2" t="str">
        <x:v>物理学プログラム</x:v>
      </x:c>
      <x:c r="D461" s="44" t="n">
        <x:v>2026</x:v>
      </x:c>
      <x:c r="E461" s="27" t="str">
        <x:v>4月入学</x:v>
      </x:c>
      <x:c r="F461" s="27" t="str">
        <x:v>博士課程前期</x:v>
      </x:c>
      <x:c r="G461" s="27" t="str">
        <x:v>全選抜区分合計</x:v>
      </x:c>
      <x:c r="H461" s="27" t="str">
        <x:v>专攻/系</x:v>
      </x:c>
      <x:c r="I461" s="44"/>
      <x:c r="J461" s="44" t="n">
        <x:v>47</x:v>
      </x:c>
      <x:c r="K461" s="44"/>
      <x:c r="L461" s="44" t="n">
        <x:v>40</x:v>
      </x:c>
      <x:c r="M461" s="44" t="n">
        <x:v>34</x:v>
      </x:c>
      <x:c r="N461" s="45" t="n">
        <x:f>IF(AND(J461&lt;&gt;"",L461&lt;&gt;0),J461/L461,"")</x:f>
        <x:v>1.175</x:v>
      </x:c>
      <x:c r="O461" s="45" t="str">
        <x:f>IF(AND(K461&lt;&gt;"",L461&lt;&gt;0),K461/L461,"")</x:f>
      </x:c>
      <x:c r="P461" s="46" t="str">
        <x:f>IF(AND(K461&lt;&gt;"",K461&lt;&gt;0,L461&lt;&gt;""),L461/K461,"")</x:f>
      </x:c>
      <x:c r="Q461" s="46" t="n">
        <x:f>IF(AND(L461&lt;&gt;"",L461&lt;&gt;0,M461&lt;&gt;""),M461/L461,"")</x:f>
        <x:v>0.85</x:v>
      </x:c>
      <x:c r="R461" s="45" t="n">
        <x:f>IF(N461&lt;&gt;"",N461,IF(O461&lt;&gt;"",O461,""))</x:f>
        <x:v>1.175</x:v>
      </x:c>
      <x:c r="S461" s="2" t="str">
        <x:f>IF(N461&lt;&gt;"","志愿/合格",IF(O461&lt;&gt;"","受验/合格",""))</x:f>
        <x:v>志愿/合格</x:v>
      </x:c>
      <x:c r="T461" s="2" t="str">
        <x:v>官方</x:v>
      </x:c>
      <x:c r="U461" s="2" t="str">
        <x:v>高</x:v>
      </x:c>
      <x:c r="V461" s="27" t="str">
        <x:v>先進理工系科学研究科 研究科パンフレット2026</x:v>
      </x:c>
      <x:c r="W461" s="27" t="str">
        <x:v>電子版 p.32「入学試験実施状況」博士課程前期・物理学プログラム行</x:v>
      </x:c>
      <x:c r="X461" s="27" t="str">
        <x:v>https://archive2.hiroshima-u.ac.jp/adse/brochure2026/index_h5.html</x:v>
      </x:c>
      <x:c r="Y461" s="27" t="str">
        <x:v>学位プログラム別の公式値。入学定員は専攻全体483人（うち13人は別研究院活用）としてのみ掲載されるため capacity=null。</x:v>
      </x:c>
      <x:c r="Z461" s="47" t="str">
        <x:v>出願者数・合格者数・入学者数。受験者数は掲載なし。</x:v>
      </x:c>
    </x:row>
    <x:row r="462" ht="38" customHeight="1">
      <x:c r="A462" s="2" t="str">
        <x:v>東京農工大学</x:v>
      </x:c>
      <x:c r="B462" s="2" t="str">
        <x:v>工学府</x:v>
      </x:c>
      <x:c r="C462" s="2" t="str">
        <x:v>（研究科合计）</x:v>
      </x:c>
      <x:c r="D462" s="44" t="n">
        <x:v>2022</x:v>
      </x:c>
      <x:c r="E462" s="27" t="str">
        <x:v>全年合計</x:v>
      </x:c>
      <x:c r="F462" s="27" t="str">
        <x:v>博士前期課程・専門職学位課程（合計）</x:v>
      </x:c>
      <x:c r="G462" s="27" t="str">
        <x:v>全選抜区分合計</x:v>
      </x:c>
      <x:c r="H462" s="27" t="str">
        <x:v>研究科合计</x:v>
      </x:c>
      <x:c r="I462" s="44" t="n">
        <x:v>380</x:v>
      </x:c>
      <x:c r="J462" s="44" t="n">
        <x:v>577</x:v>
      </x:c>
      <x:c r="K462" s="44"/>
      <x:c r="L462" s="44"/>
      <x:c r="M462" s="44" t="n">
        <x:v>411</x:v>
      </x:c>
      <x:c r="N462" s="45" t="str">
        <x:f>IF(AND(J462&lt;&gt;"",L462&lt;&gt;0),J462/L462,"")</x:f>
      </x:c>
      <x:c r="O462" s="45" t="str">
        <x:f>IF(AND(K462&lt;&gt;"",L462&lt;&gt;0),K462/L462,"")</x:f>
      </x:c>
      <x:c r="P462" s="46" t="str">
        <x:f>IF(AND(K462&lt;&gt;"",K462&lt;&gt;0,L462&lt;&gt;""),L462/K462,"")</x:f>
      </x:c>
      <x:c r="Q462" s="46" t="str">
        <x:f>IF(AND(L462&lt;&gt;"",L462&lt;&gt;0,M462&lt;&gt;""),M462/L462,"")</x:f>
      </x:c>
      <x:c r="R462" s="45" t="str">
        <x:f>IF(N462&lt;&gt;"",N462,IF(O462&lt;&gt;"",O462,""))</x:f>
      </x:c>
      <x:c r="S462" s="2" t="str">
        <x:f>IF(N462&lt;&gt;"","志愿/合格",IF(O462&lt;&gt;"","受验/合格",""))</x:f>
      </x:c>
      <x:c r="T462" s="2" t="str">
        <x:v>官方</x:v>
      </x:c>
      <x:c r="U462" s="2" t="str">
        <x:v>高</x:v>
      </x:c>
      <x:c r="V462" s="27" t="str">
        <x:v>学生の確保の見通し等を記載した書類</x:v>
      </x:c>
      <x:c r="W462" s="27" t="str">
        <x:v>p.3 表1 工学府・令和4年度列</x:v>
      </x:c>
      <x:c r="X462" s="27" t="str">
        <x:v>https://www.tuat.ac.jp/documents/tuat/outline/jyouhoukoukai/houjin/gakubu/senshin_m_2407_gakusei.pdf</x:v>
      </x:c>
      <x:c r="Y462" s="27" t="str">
        <x:v>工学府の博士前期課程と専門職学位課程を合算した研究科級統計。共通数学の受験者だけには分解できない。</x:v>
      </x:c>
      <x:c r="Z462" s="47" t="str">
        <x:v>志願者数・入学者数のみ。</x:v>
      </x:c>
    </x:row>
    <x:row r="463" ht="38" customHeight="1">
      <x:c r="A463" s="2" t="str">
        <x:v>東京農工大学</x:v>
      </x:c>
      <x:c r="B463" s="2" t="str">
        <x:v>工学府</x:v>
      </x:c>
      <x:c r="C463" s="2" t="str">
        <x:v>（研究科合计）</x:v>
      </x:c>
      <x:c r="D463" s="44" t="n">
        <x:v>2023</x:v>
      </x:c>
      <x:c r="E463" s="27" t="str">
        <x:v>全年合計</x:v>
      </x:c>
      <x:c r="F463" s="27" t="str">
        <x:v>博士前期課程・専門職学位課程（合計）</x:v>
      </x:c>
      <x:c r="G463" s="27" t="str">
        <x:v>全選抜区分合計</x:v>
      </x:c>
      <x:c r="H463" s="27" t="str">
        <x:v>研究科合计</x:v>
      </x:c>
      <x:c r="I463" s="44" t="n">
        <x:v>397</x:v>
      </x:c>
      <x:c r="J463" s="44" t="n">
        <x:v>629</x:v>
      </x:c>
      <x:c r="K463" s="44"/>
      <x:c r="L463" s="44"/>
      <x:c r="M463" s="44" t="n">
        <x:v>445</x:v>
      </x:c>
      <x:c r="N463" s="45" t="str">
        <x:f>IF(AND(J463&lt;&gt;"",L463&lt;&gt;0),J463/L463,"")</x:f>
      </x:c>
      <x:c r="O463" s="45" t="str">
        <x:f>IF(AND(K463&lt;&gt;"",L463&lt;&gt;0),K463/L463,"")</x:f>
      </x:c>
      <x:c r="P463" s="46" t="str">
        <x:f>IF(AND(K463&lt;&gt;"",K463&lt;&gt;0,L463&lt;&gt;""),L463/K463,"")</x:f>
      </x:c>
      <x:c r="Q463" s="46" t="str">
        <x:f>IF(AND(L463&lt;&gt;"",L463&lt;&gt;0,M463&lt;&gt;""),M463/L463,"")</x:f>
      </x:c>
      <x:c r="R463" s="45" t="str">
        <x:f>IF(N463&lt;&gt;"",N463,IF(O463&lt;&gt;"",O463,""))</x:f>
      </x:c>
      <x:c r="S463" s="2" t="str">
        <x:f>IF(N463&lt;&gt;"","志愿/合格",IF(O463&lt;&gt;"","受验/合格",""))</x:f>
      </x:c>
      <x:c r="T463" s="2" t="str">
        <x:v>官方</x:v>
      </x:c>
      <x:c r="U463" s="2" t="str">
        <x:v>高</x:v>
      </x:c>
      <x:c r="V463" s="27" t="str">
        <x:v>学生の確保の見通し等を記載した書類</x:v>
      </x:c>
      <x:c r="W463" s="27" t="str">
        <x:v>p.3 表1 工学府・令和5年度列</x:v>
      </x:c>
      <x:c r="X463" s="27" t="str">
        <x:v>https://www.tuat.ac.jp/documents/tuat/outline/jyouhoukoukai/houjin/gakubu/senshin_m_2407_gakusei.pdf</x:v>
      </x:c>
      <x:c r="Y463" s="27" t="str">
        <x:v>工学府の博士前期課程と専門職学位課程を合算した研究科級統計。共通数学の受験者だけには分解できない。</x:v>
      </x:c>
      <x:c r="Z463" s="47" t="str">
        <x:v>志願者数・入学者数のみ。</x:v>
      </x:c>
    </x:row>
    <x:row r="464" ht="38" customHeight="1">
      <x:c r="A464" s="2" t="str">
        <x:v>東京農工大学</x:v>
      </x:c>
      <x:c r="B464" s="2" t="str">
        <x:v>生物システム応用科学府</x:v>
      </x:c>
      <x:c r="C464" s="2" t="str">
        <x:v>（研究科合计）</x:v>
      </x:c>
      <x:c r="D464" s="44" t="n">
        <x:v>2022</x:v>
      </x:c>
      <x:c r="E464" s="27" t="str">
        <x:v>全年合計</x:v>
      </x:c>
      <x:c r="F464" s="27" t="str">
        <x:v>博士前期課程</x:v>
      </x:c>
      <x:c r="G464" s="27" t="str">
        <x:v>全選抜区分合計</x:v>
      </x:c>
      <x:c r="H464" s="27" t="str">
        <x:v>研究科合计</x:v>
      </x:c>
      <x:c r="I464" s="44" t="n">
        <x:v>59</x:v>
      </x:c>
      <x:c r="J464" s="44" t="n">
        <x:v>95</x:v>
      </x:c>
      <x:c r="K464" s="44"/>
      <x:c r="L464" s="44"/>
      <x:c r="M464" s="44" t="n">
        <x:v>68</x:v>
      </x:c>
      <x:c r="N464" s="45" t="str">
        <x:f>IF(AND(J464&lt;&gt;"",L464&lt;&gt;0),J464/L464,"")</x:f>
      </x:c>
      <x:c r="O464" s="45" t="str">
        <x:f>IF(AND(K464&lt;&gt;"",L464&lt;&gt;0),K464/L464,"")</x:f>
      </x:c>
      <x:c r="P464" s="46" t="str">
        <x:f>IF(AND(K464&lt;&gt;"",K464&lt;&gt;0,L464&lt;&gt;""),L464/K464,"")</x:f>
      </x:c>
      <x:c r="Q464" s="46" t="str">
        <x:f>IF(AND(L464&lt;&gt;"",L464&lt;&gt;0,M464&lt;&gt;""),M464/L464,"")</x:f>
      </x:c>
      <x:c r="R464" s="45" t="str">
        <x:f>IF(N464&lt;&gt;"",N464,IF(O464&lt;&gt;"",O464,""))</x:f>
      </x:c>
      <x:c r="S464" s="2" t="str">
        <x:f>IF(N464&lt;&gt;"","志愿/合格",IF(O464&lt;&gt;"","受验/合格",""))</x:f>
      </x:c>
      <x:c r="T464" s="2" t="str">
        <x:v>官方</x:v>
      </x:c>
      <x:c r="U464" s="2" t="str">
        <x:v>高</x:v>
      </x:c>
      <x:c r="V464" s="27" t="str">
        <x:v>学生の確保の見通し等を記載した書類</x:v>
      </x:c>
      <x:c r="W464" s="27" t="str">
        <x:v>p.3 表1 生物システム応用科学府・令和4年度列</x:v>
      </x:c>
      <x:c r="X464" s="27" t="str">
        <x:v>https://www.tuat.ac.jp/documents/tuat/outline/jyouhoukoukai/houjin/gakubu/senshin_m_2407_gakusei.pdf</x:v>
      </x:c>
      <x:c r="Y464" s="27" t="str">
        <x:v>学府博士前期課程の公式合計。</x:v>
      </x:c>
      <x:c r="Z464" s="47" t="str">
        <x:v>志願者数・入学者数のみ。2025年度から修士課程は先進学際科学府へ改組。</x:v>
      </x:c>
    </x:row>
    <x:row r="465" ht="38" customHeight="1">
      <x:c r="A465" s="2" t="str">
        <x:v>東京農工大学</x:v>
      </x:c>
      <x:c r="B465" s="2" t="str">
        <x:v>生物システム応用科学府</x:v>
      </x:c>
      <x:c r="C465" s="2" t="str">
        <x:v>（研究科合计）</x:v>
      </x:c>
      <x:c r="D465" s="44" t="n">
        <x:v>2023</x:v>
      </x:c>
      <x:c r="E465" s="27" t="str">
        <x:v>全年合計</x:v>
      </x:c>
      <x:c r="F465" s="27" t="str">
        <x:v>博士前期課程</x:v>
      </x:c>
      <x:c r="G465" s="27" t="str">
        <x:v>全選抜区分合計</x:v>
      </x:c>
      <x:c r="H465" s="27" t="str">
        <x:v>研究科合计</x:v>
      </x:c>
      <x:c r="I465" s="44" t="n">
        <x:v>59</x:v>
      </x:c>
      <x:c r="J465" s="44" t="n">
        <x:v>89</x:v>
      </x:c>
      <x:c r="K465" s="44"/>
      <x:c r="L465" s="44"/>
      <x:c r="M465" s="44" t="n">
        <x:v>64</x:v>
      </x:c>
      <x:c r="N465" s="45" t="str">
        <x:f>IF(AND(J465&lt;&gt;"",L465&lt;&gt;0),J465/L465,"")</x:f>
      </x:c>
      <x:c r="O465" s="45" t="str">
        <x:f>IF(AND(K465&lt;&gt;"",L465&lt;&gt;0),K465/L465,"")</x:f>
      </x:c>
      <x:c r="P465" s="46" t="str">
        <x:f>IF(AND(K465&lt;&gt;"",K465&lt;&gt;0,L465&lt;&gt;""),L465/K465,"")</x:f>
      </x:c>
      <x:c r="Q465" s="46" t="str">
        <x:f>IF(AND(L465&lt;&gt;"",L465&lt;&gt;0,M465&lt;&gt;""),M465/L465,"")</x:f>
      </x:c>
      <x:c r="R465" s="45" t="str">
        <x:f>IF(N465&lt;&gt;"",N465,IF(O465&lt;&gt;"",O465,""))</x:f>
      </x:c>
      <x:c r="S465" s="2" t="str">
        <x:f>IF(N465&lt;&gt;"","志愿/合格",IF(O465&lt;&gt;"","受验/合格",""))</x:f>
      </x:c>
      <x:c r="T465" s="2" t="str">
        <x:v>官方</x:v>
      </x:c>
      <x:c r="U465" s="2" t="str">
        <x:v>高</x:v>
      </x:c>
      <x:c r="V465" s="27" t="str">
        <x:v>学生の確保の見通し等を記載した書類</x:v>
      </x:c>
      <x:c r="W465" s="27" t="str">
        <x:v>p.3 表1 生物システム応用科学府・令和5年度列</x:v>
      </x:c>
      <x:c r="X465" s="27" t="str">
        <x:v>https://www.tuat.ac.jp/documents/tuat/outline/jyouhoukoukai/houjin/gakubu/senshin_m_2407_gakusei.pdf</x:v>
      </x:c>
      <x:c r="Y465" s="27" t="str">
        <x:v>学府博士前期課程の公式合計。</x:v>
      </x:c>
      <x:c r="Z465" s="47" t="str">
        <x:v>志願者数・入学者数のみ。2025年度から修士課程は先進学際科学府へ改組。</x:v>
      </x:c>
    </x:row>
    <x:row r="466" ht="38" customHeight="1">
      <x:c r="A466" s="2" t="str">
        <x:v>明治大学</x:v>
      </x:c>
      <x:c r="B466" s="2" t="str">
        <x:v>先端数理科学研究科</x:v>
      </x:c>
      <x:c r="C466" s="2" t="str">
        <x:v>現象数理学専攻</x:v>
      </x:c>
      <x:c r="D466" s="44" t="n">
        <x:v>2022</x:v>
      </x:c>
      <x:c r="E466" s="27" t="str">
        <x:v>全年合计</x:v>
      </x:c>
      <x:c r="F466" s="27" t="str">
        <x:v>博士前期課程</x:v>
      </x:c>
      <x:c r="G466" s="27" t="str">
        <x:v>全部</x:v>
      </x:c>
      <x:c r="H466" s="27" t="str">
        <x:v>专攻/系</x:v>
      </x:c>
      <x:c r="I466" s="44" t="n">
        <x:v>20</x:v>
      </x:c>
      <x:c r="J466" s="44" t="n">
        <x:v>30</x:v>
      </x:c>
      <x:c r="K466" s="44"/>
      <x:c r="L466" s="44" t="n">
        <x:v>23</x:v>
      </x:c>
      <x:c r="M466" s="44" t="n">
        <x:v>19</x:v>
      </x:c>
      <x:c r="N466" s="45" t="n">
        <x:f>IF(AND(J466&lt;&gt;"",L466&lt;&gt;0),J466/L466,"")</x:f>
        <x:v>1.3043478260869565</x:v>
      </x:c>
      <x:c r="O466" s="45" t="str">
        <x:f>IF(AND(K466&lt;&gt;"",L466&lt;&gt;0),K466/L466,"")</x:f>
      </x:c>
      <x:c r="P466" s="46" t="str">
        <x:f>IF(AND(K466&lt;&gt;"",K466&lt;&gt;0,L466&lt;&gt;""),L466/K466,"")</x:f>
      </x:c>
      <x:c r="Q466" s="46" t="n">
        <x:f>IF(AND(L466&lt;&gt;"",L466&lt;&gt;0,M466&lt;&gt;""),M466/L466,"")</x:f>
        <x:v>0.8260869565217391</x:v>
      </x:c>
      <x:c r="R466" s="45" t="n">
        <x:f>IF(N466&lt;&gt;"",N466,IF(O466&lt;&gt;"",O466,""))</x:f>
        <x:v>1.3043478260869565</x:v>
      </x:c>
      <x:c r="S466" s="2" t="str">
        <x:f>IF(N466&lt;&gt;"","志愿/合格",IF(O466&lt;&gt;"","受验/合格",""))</x:f>
        <x:v>志愿/合格</x:v>
      </x:c>
      <x:c r="T466" s="2" t="str">
        <x:v>官方</x:v>
      </x:c>
      <x:c r="U466" s="2" t="str">
        <x:v>高</x:v>
      </x:c>
      <x:c r="V466" s="27" t="str">
        <x:v>明治大学データ集（学生の受け入れ・表3）</x:v>
      </x:c>
      <x:c r="W466" s="27" t="str">
        <x:v>学生の受け入れ（表3）／先端数理科学研究科・現象数理学専攻</x:v>
      </x:c>
      <x:c r="X466" s="27" t="str">
        <x:v>https://www.meiji.ac.jp/koho/about/hyouka/self/2023/mkmht00000273v1a-att/2023data.pdf</x:v>
      </x:c>
      <x:c r="Y466" s="27" t="str">
        <x:v>专攻精确；年度合计</x:v>
      </x:c>
      <x:c r="Z466" s="47" t="str"/>
    </x:row>
    <x:row r="467" ht="38" customHeight="1">
      <x:c r="A467" s="2" t="str">
        <x:v>明治大学</x:v>
      </x:c>
      <x:c r="B467" s="2" t="str">
        <x:v>先端数理科学研究科</x:v>
      </x:c>
      <x:c r="C467" s="2" t="str">
        <x:v>現象数理学専攻</x:v>
      </x:c>
      <x:c r="D467" s="44" t="n">
        <x:v>2023</x:v>
      </x:c>
      <x:c r="E467" s="27" t="str">
        <x:v>全年合计</x:v>
      </x:c>
      <x:c r="F467" s="27" t="str">
        <x:v>博士前期課程</x:v>
      </x:c>
      <x:c r="G467" s="27" t="str">
        <x:v>全部</x:v>
      </x:c>
      <x:c r="H467" s="27" t="str">
        <x:v>专攻/系</x:v>
      </x:c>
      <x:c r="I467" s="44" t="n">
        <x:v>20</x:v>
      </x:c>
      <x:c r="J467" s="44" t="n">
        <x:v>26</x:v>
      </x:c>
      <x:c r="K467" s="44"/>
      <x:c r="L467" s="44" t="n">
        <x:v>22</x:v>
      </x:c>
      <x:c r="M467" s="44" t="n">
        <x:v>21</x:v>
      </x:c>
      <x:c r="N467" s="45" t="n">
        <x:f>IF(AND(J467&lt;&gt;"",L467&lt;&gt;0),J467/L467,"")</x:f>
        <x:v>1.1818181818181819</x:v>
      </x:c>
      <x:c r="O467" s="45" t="str">
        <x:f>IF(AND(K467&lt;&gt;"",L467&lt;&gt;0),K467/L467,"")</x:f>
      </x:c>
      <x:c r="P467" s="46" t="str">
        <x:f>IF(AND(K467&lt;&gt;"",K467&lt;&gt;0,L467&lt;&gt;""),L467/K467,"")</x:f>
      </x:c>
      <x:c r="Q467" s="46" t="n">
        <x:f>IF(AND(L467&lt;&gt;"",L467&lt;&gt;0,M467&lt;&gt;""),M467/L467,"")</x:f>
        <x:v>0.9545454545454546</x:v>
      </x:c>
      <x:c r="R467" s="45" t="n">
        <x:f>IF(N467&lt;&gt;"",N467,IF(O467&lt;&gt;"",O467,""))</x:f>
        <x:v>1.1818181818181819</x:v>
      </x:c>
      <x:c r="S467" s="2" t="str">
        <x:f>IF(N467&lt;&gt;"","志愿/合格",IF(O467&lt;&gt;"","受验/合格",""))</x:f>
        <x:v>志愿/合格</x:v>
      </x:c>
      <x:c r="T467" s="2" t="str">
        <x:v>官方</x:v>
      </x:c>
      <x:c r="U467" s="2" t="str">
        <x:v>高</x:v>
      </x:c>
      <x:c r="V467" s="27" t="str">
        <x:v>明治大学データ集（学生の受け入れ・表3）</x:v>
      </x:c>
      <x:c r="W467" s="27" t="str">
        <x:v>学生の受け入れ（表3）／先端数理科学研究科・現象数理学専攻</x:v>
      </x:c>
      <x:c r="X467" s="27" t="str">
        <x:v>https://www.meiji.ac.jp/koho/about/hyouka/self/2023/mkmht00000273v1a-att/2023data.pdf</x:v>
      </x:c>
      <x:c r="Y467" s="27" t="str">
        <x:v>专攻精确；年度合计</x:v>
      </x:c>
      <x:c r="Z467" s="47" t="str"/>
    </x:row>
    <x:row r="468" ht="38" customHeight="1">
      <x:c r="A468" s="2" t="str">
        <x:v>明治大学</x:v>
      </x:c>
      <x:c r="B468" s="2" t="str">
        <x:v>先端数理科学研究科</x:v>
      </x:c>
      <x:c r="C468" s="2" t="str">
        <x:v>現象数理学専攻</x:v>
      </x:c>
      <x:c r="D468" s="44" t="n">
        <x:v>2024</x:v>
      </x:c>
      <x:c r="E468" s="27" t="str">
        <x:v>全年合计</x:v>
      </x:c>
      <x:c r="F468" s="27" t="str">
        <x:v>博士前期課程</x:v>
      </x:c>
      <x:c r="G468" s="27" t="str">
        <x:v>全部</x:v>
      </x:c>
      <x:c r="H468" s="27" t="str">
        <x:v>专攻/系</x:v>
      </x:c>
      <x:c r="I468" s="44" t="n">
        <x:v>20</x:v>
      </x:c>
      <x:c r="J468" s="44" t="n">
        <x:v>26</x:v>
      </x:c>
      <x:c r="K468" s="44"/>
      <x:c r="L468" s="44" t="n">
        <x:v>17</x:v>
      </x:c>
      <x:c r="M468" s="44" t="n">
        <x:v>13</x:v>
      </x:c>
      <x:c r="N468" s="45" t="n">
        <x:f>IF(AND(J468&lt;&gt;"",L468&lt;&gt;0),J468/L468,"")</x:f>
        <x:v>1.5294117647058822</x:v>
      </x:c>
      <x:c r="O468" s="45" t="str">
        <x:f>IF(AND(K468&lt;&gt;"",L468&lt;&gt;0),K468/L468,"")</x:f>
      </x:c>
      <x:c r="P468" s="46" t="str">
        <x:f>IF(AND(K468&lt;&gt;"",K468&lt;&gt;0,L468&lt;&gt;""),L468/K468,"")</x:f>
      </x:c>
      <x:c r="Q468" s="46" t="n">
        <x:f>IF(AND(L468&lt;&gt;"",L468&lt;&gt;0,M468&lt;&gt;""),M468/L468,"")</x:f>
        <x:v>0.7647058823529411</x:v>
      </x:c>
      <x:c r="R468" s="45" t="n">
        <x:f>IF(N468&lt;&gt;"",N468,IF(O468&lt;&gt;"",O468,""))</x:f>
        <x:v>1.5294117647058822</x:v>
      </x:c>
      <x:c r="S468" s="2" t="str">
        <x:f>IF(N468&lt;&gt;"","志愿/合格",IF(O468&lt;&gt;"","受验/合格",""))</x:f>
        <x:v>志愿/合格</x:v>
      </x:c>
      <x:c r="T468" s="2" t="str">
        <x:v>官方</x:v>
      </x:c>
      <x:c r="U468" s="2" t="str">
        <x:v>高</x:v>
      </x:c>
      <x:c r="V468" s="27" t="str">
        <x:v>明治大学データ集（学生の受け入れ・表3）</x:v>
      </x:c>
      <x:c r="W468" s="27" t="str">
        <x:v>学生の受け入れ（表3）／先端数理科学研究科・現象数理学専攻</x:v>
      </x:c>
      <x:c r="X468" s="27" t="str">
        <x:v>https://www.meiji.ac.jp/koho/about/hyouka/self/2023/mkmht00000273v1a-att/2023data.pdf</x:v>
      </x:c>
      <x:c r="Y468" s="27" t="str">
        <x:v>专攻精确；年度合计</x:v>
      </x:c>
      <x:c r="Z468" s="47" t="str"/>
    </x:row>
    <x:row r="469" ht="38" customHeight="1">
      <x:c r="A469" s="2" t="str">
        <x:v>明治大学</x:v>
      </x:c>
      <x:c r="B469" s="2" t="str">
        <x:v>先端数理科学研究科</x:v>
      </x:c>
      <x:c r="C469" s="2" t="str">
        <x:v>現象数理学専攻</x:v>
      </x:c>
      <x:c r="D469" s="44" t="n">
        <x:v>2025</x:v>
      </x:c>
      <x:c r="E469" s="27" t="str">
        <x:v>全年合计</x:v>
      </x:c>
      <x:c r="F469" s="27" t="str">
        <x:v>博士前期課程</x:v>
      </x:c>
      <x:c r="G469" s="27" t="str">
        <x:v>全部</x:v>
      </x:c>
      <x:c r="H469" s="27" t="str">
        <x:v>专攻/系</x:v>
      </x:c>
      <x:c r="I469" s="44" t="n">
        <x:v>20</x:v>
      </x:c>
      <x:c r="J469" s="44" t="n">
        <x:v>50</x:v>
      </x:c>
      <x:c r="K469" s="44"/>
      <x:c r="L469" s="44" t="n">
        <x:v>26</x:v>
      </x:c>
      <x:c r="M469" s="44"/>
      <x:c r="N469" s="45" t="n">
        <x:f>IF(AND(J469&lt;&gt;"",L469&lt;&gt;0),J469/L469,"")</x:f>
        <x:v>1.9230769230769231</x:v>
      </x:c>
      <x:c r="O469" s="45" t="str">
        <x:f>IF(AND(K469&lt;&gt;"",L469&lt;&gt;0),K469/L469,"")</x:f>
      </x:c>
      <x:c r="P469" s="46" t="str">
        <x:f>IF(AND(K469&lt;&gt;"",K469&lt;&gt;0,L469&lt;&gt;""),L469/K469,"")</x:f>
      </x:c>
      <x:c r="Q469" s="46" t="str">
        <x:f>IF(AND(L469&lt;&gt;"",L469&lt;&gt;0,M469&lt;&gt;""),M469/L469,"")</x:f>
      </x:c>
      <x:c r="R469" s="45" t="n">
        <x:f>IF(N469&lt;&gt;"",N469,IF(O469&lt;&gt;"",O469,""))</x:f>
        <x:v>1.9230769230769231</x:v>
      </x:c>
      <x:c r="S469" s="2" t="str">
        <x:f>IF(N469&lt;&gt;"","志愿/合格",IF(O469&lt;&gt;"","受验/合格",""))</x:f>
        <x:v>志愿/合格</x:v>
      </x:c>
      <x:c r="T469" s="2" t="str">
        <x:v>官方</x:v>
      </x:c>
      <x:c r="U469" s="2" t="str">
        <x:v>高</x:v>
      </x:c>
      <x:c r="V469" s="27" t="str">
        <x:v>明治大学大学院ガイドブック 入試状況（2025年3月31日現在）</x:v>
      </x:c>
      <x:c r="W469" s="27" t="str">
        <x:v>先端数理科学研究科／現象数理学専攻</x:v>
      </x:c>
      <x:c r="X469" s="27" t="str">
        <x:v>https://www.meiji.ac.jp/dai_in/guidebook/6t5h7p00003fm092-att/6t5h7p00003fm0k9.pdf</x:v>
      </x:c>
      <x:c r="Y469" s="27" t="str">
        <x:v>专攻精确；年度合计</x:v>
      </x:c>
      <x:c r="Z469" s="47" t="str">
        <x:v>官方指南只列志愿者、合格者</x:v>
      </x:c>
    </x:row>
    <x:row r="470" ht="38" customHeight="1">
      <x:c r="A470" s="2" t="str">
        <x:v>名古屋工業大学</x:v>
      </x:c>
      <x:c r="B470" s="2" t="str">
        <x:v>工学研究科</x:v>
      </x:c>
      <x:c r="C470" s="2" t="str">
        <x:v>情報工学系</x:v>
      </x:c>
      <x:c r="D470" s="44" t="n">
        <x:v>2025</x:v>
      </x:c>
      <x:c r="E470" s="27" t="str">
        <x:v>全年合计</x:v>
      </x:c>
      <x:c r="F470" s="27" t="str">
        <x:v>博士前期課程</x:v>
      </x:c>
      <x:c r="G470" s="27" t="str">
        <x:v>推荐+一般+留学生等 合计</x:v>
      </x:c>
      <x:c r="H470" s="27" t="str">
        <x:v>专攻/系</x:v>
      </x:c>
      <x:c r="I470" s="44" t="n">
        <x:v>132</x:v>
      </x:c>
      <x:c r="J470" s="44" t="n">
        <x:v>163</x:v>
      </x:c>
      <x:c r="K470" s="44" t="n">
        <x:v>157</x:v>
      </x:c>
      <x:c r="L470" s="44" t="n">
        <x:v>140</x:v>
      </x:c>
      <x:c r="M470" s="44" t="n">
        <x:v>134</x:v>
      </x:c>
      <x:c r="N470" s="45" t="n">
        <x:f>IF(AND(J470&lt;&gt;"",L470&lt;&gt;0),J470/L470,"")</x:f>
        <x:v>1.1642857142857144</x:v>
      </x:c>
      <x:c r="O470" s="45" t="n">
        <x:f>IF(AND(K470&lt;&gt;"",L470&lt;&gt;0),K470/L470,"")</x:f>
        <x:v>1.1214285714285714</x:v>
      </x:c>
      <x:c r="P470" s="46" t="n">
        <x:f>IF(AND(K470&lt;&gt;"",K470&lt;&gt;0,L470&lt;&gt;""),L470/K470,"")</x:f>
        <x:v>0.89171974522293</x:v>
      </x:c>
      <x:c r="Q470" s="46" t="n">
        <x:f>IF(AND(L470&lt;&gt;"",L470&lt;&gt;0,M470&lt;&gt;""),M470/L470,"")</x:f>
        <x:v>0.9571428571428572</x:v>
      </x:c>
      <x:c r="R470" s="45" t="n">
        <x:f>IF(N470&lt;&gt;"",N470,IF(O470&lt;&gt;"",O470,""))</x:f>
        <x:v>1.1642857142857144</x:v>
      </x:c>
      <x:c r="S470" s="2" t="str">
        <x:f>IF(N470&lt;&gt;"","志愿/合格",IF(O470&lt;&gt;"","受验/合格",""))</x:f>
        <x:v>志愿/合格</x:v>
      </x:c>
      <x:c r="T470" s="2" t="str">
        <x:v>官方</x:v>
      </x:c>
      <x:c r="U470" s="2" t="str">
        <x:v>高</x:v>
      </x:c>
      <x:c r="V470" s="27" t="str">
        <x:v>令和7年度 名古屋工業大学大学院工学研究科入学者選抜状況</x:v>
      </x:c>
      <x:c r="W470" s="27" t="str">
        <x:v>博士前期課程／情報工学系，各选拔类别本表汇总</x:v>
      </x:c>
      <x:c r="X470" s="27" t="str">
        <x:v>https://www.nitech.ac.jp/examination/mt_files/R7_in_zenki_senbatsu_0508.pdf</x:v>
      </x:c>
      <x:c r="Y470" s="27" t="str">
        <x:v>系精确；各选拔类别汇总</x:v>
      </x:c>
      <x:c r="Z470" s="47" t="str">
        <x:v>推荐29/29/29/29；一般117/111/101/95；私费14/14/7/7；其余3/3/3/3</x:v>
      </x:c>
    </x:row>
    <x:row r="471" ht="38" customHeight="1">
      <x:c r="A471" s="2" t="str">
        <x:v>名古屋工業大学</x:v>
      </x:c>
      <x:c r="B471" s="2" t="str">
        <x:v>工学研究科</x:v>
      </x:c>
      <x:c r="C471" s="2" t="str">
        <x:v>情報工学系</x:v>
      </x:c>
      <x:c r="D471" s="44" t="n">
        <x:v>2026</x:v>
      </x:c>
      <x:c r="E471" s="27" t="str">
        <x:v>全年合计</x:v>
      </x:c>
      <x:c r="F471" s="27" t="str">
        <x:v>博士前期課程</x:v>
      </x:c>
      <x:c r="G471" s="27" t="str">
        <x:v>推荐+一般+留学生等 合计</x:v>
      </x:c>
      <x:c r="H471" s="27" t="str">
        <x:v>专攻/系</x:v>
      </x:c>
      <x:c r="I471" s="44" t="n">
        <x:v>132</x:v>
      </x:c>
      <x:c r="J471" s="44" t="n">
        <x:v>154</x:v>
      </x:c>
      <x:c r="K471" s="44" t="n">
        <x:v>149</x:v>
      </x:c>
      <x:c r="L471" s="44" t="n">
        <x:v>135</x:v>
      </x:c>
      <x:c r="M471" s="44" t="n">
        <x:v>127</x:v>
      </x:c>
      <x:c r="N471" s="45" t="n">
        <x:f>IF(AND(J471&lt;&gt;"",L471&lt;&gt;0),J471/L471,"")</x:f>
        <x:v>1.1407407407407408</x:v>
      </x:c>
      <x:c r="O471" s="45" t="n">
        <x:f>IF(AND(K471&lt;&gt;"",L471&lt;&gt;0),K471/L471,"")</x:f>
        <x:v>1.1037037037037036</x:v>
      </x:c>
      <x:c r="P471" s="46" t="n">
        <x:f>IF(AND(K471&lt;&gt;"",K471&lt;&gt;0,L471&lt;&gt;""),L471/K471,"")</x:f>
        <x:v>0.9060402684563759</x:v>
      </x:c>
      <x:c r="Q471" s="46" t="n">
        <x:f>IF(AND(L471&lt;&gt;"",L471&lt;&gt;0,M471&lt;&gt;""),M471/L471,"")</x:f>
        <x:v>0.9407407407407408</x:v>
      </x:c>
      <x:c r="R471" s="45" t="n">
        <x:f>IF(N471&lt;&gt;"",N471,IF(O471&lt;&gt;"",O471,""))</x:f>
        <x:v>1.1407407407407408</x:v>
      </x:c>
      <x:c r="S471" s="2" t="str">
        <x:f>IF(N471&lt;&gt;"","志愿/合格",IF(O471&lt;&gt;"","受验/合格",""))</x:f>
        <x:v>志愿/合格</x:v>
      </x:c>
      <x:c r="T471" s="2" t="str">
        <x:v>官方</x:v>
      </x:c>
      <x:c r="U471" s="2" t="str">
        <x:v>高</x:v>
      </x:c>
      <x:c r="V471" s="27" t="str">
        <x:v>令和8年度 名古屋工業大学大学院工学研究科入学者選抜状況</x:v>
      </x:c>
      <x:c r="W471" s="27" t="str">
        <x:v>博士前期課程／情報工学系，各选拔类别本表汇总</x:v>
      </x:c>
      <x:c r="X471" s="27" t="str">
        <x:v>https://www.nitech.ac.jp/examination/mt_files/R8_in_zenki_senbatsu.pdf</x:v>
      </x:c>
      <x:c r="Y471" s="27" t="str">
        <x:v>系精确；各选拔类别汇总</x:v>
      </x:c>
      <x:c r="Z471" s="47" t="str">
        <x:v>推荐40/40/40/39；一般94/91/85/80；私费17/15/7/5；Aichi1/1/1/1；JICA2/2/2/2</x:v>
      </x:c>
    </x:row>
    <x:row r="472" ht="38" customHeight="1">
      <x:c r="A472" s="2" t="str">
        <x:v>山口大学</x:v>
      </x:c>
      <x:c r="B472" s="2" t="str">
        <x:v>人間社会科学研究科</x:v>
      </x:c>
      <x:c r="C472" s="2" t="str">
        <x:v>（研究科合计）</x:v>
      </x:c>
      <x:c r="D472" s="44" t="n">
        <x:v>2025</x:v>
      </x:c>
      <x:c r="E472" s="27" t="str">
        <x:v>全年合计</x:v>
      </x:c>
      <x:c r="F472" s="27" t="str">
        <x:v>博士前期・修士課程</x:v>
      </x:c>
      <x:c r="G472" s="27" t="str">
        <x:v>全部</x:v>
      </x:c>
      <x:c r="H472" s="27" t="str">
        <x:v>研究科合计</x:v>
      </x:c>
      <x:c r="I472" s="44" t="n">
        <x:v>41</x:v>
      </x:c>
      <x:c r="J472" s="44" t="n">
        <x:v>53</x:v>
      </x:c>
      <x:c r="K472" s="44"/>
      <x:c r="L472" s="44" t="n">
        <x:v>30</x:v>
      </x:c>
      <x:c r="M472" s="44" t="n">
        <x:v>26</x:v>
      </x:c>
      <x:c r="N472" s="45" t="n">
        <x:f>IF(AND(J472&lt;&gt;"",L472&lt;&gt;0),J472/L472,"")</x:f>
        <x:v>1.7666666666666666</x:v>
      </x:c>
      <x:c r="O472" s="45" t="str">
        <x:f>IF(AND(K472&lt;&gt;"",L472&lt;&gt;0),K472/L472,"")</x:f>
      </x:c>
      <x:c r="P472" s="46" t="str">
        <x:f>IF(AND(K472&lt;&gt;"",K472&lt;&gt;0,L472&lt;&gt;""),L472/K472,"")</x:f>
      </x:c>
      <x:c r="Q472" s="46" t="n">
        <x:f>IF(AND(L472&lt;&gt;"",L472&lt;&gt;0,M472&lt;&gt;""),M472/L472,"")</x:f>
        <x:v>0.8666666666666667</x:v>
      </x:c>
      <x:c r="R472" s="45" t="n">
        <x:f>IF(N472&lt;&gt;"",N472,IF(O472&lt;&gt;"",O472,""))</x:f>
        <x:v>1.7666666666666666</x:v>
      </x:c>
      <x:c r="S472" s="2" t="str">
        <x:f>IF(N472&lt;&gt;"","志愿/合格",IF(O472&lt;&gt;"","受验/合格",""))</x:f>
        <x:v>志愿/合格</x:v>
      </x:c>
      <x:c r="T472" s="2" t="str">
        <x:v>官方</x:v>
      </x:c>
      <x:c r="U472" s="2" t="str">
        <x:v>高</x:v>
      </x:c>
      <x:c r="V472" s="27" t="str">
        <x:v>入学志願者・入学状況（Academic Year 2025）</x:v>
      </x:c>
      <x:c r="W472" s="27" t="str">
        <x:v>大学院／人間社会科学研究科</x:v>
      </x:c>
      <x:c r="X472" s="27" t="str">
        <x:v>https://www.yamaguchi-u.ac.jp/wp-content/uploads/2025/09/25092215.pdf</x:v>
      </x:c>
      <x:c r="Y472" s="27" t="str">
        <x:v>研究科合计，未按临床心理学专攻、经济学・经营学专攻拆分</x:v>
      </x:c>
      <x:c r="Z472" s="47" t="str">
        <x:v>该研究科于2025年度起设</x:v>
      </x:c>
    </x:row>
    <x:row r="473" ht="38" customHeight="1">
      <x:c r="A473" s="2" t="str">
        <x:v>新潟大学</x:v>
      </x:c>
      <x:c r="B473" s="2" t="str">
        <x:v>自然科学研究科</x:v>
      </x:c>
      <x:c r="C473" s="2" t="str">
        <x:v>（研究科合计）</x:v>
      </x:c>
      <x:c r="D473" s="44" t="n">
        <x:v>2024</x:v>
      </x:c>
      <x:c r="E473" s="27" t="str">
        <x:v>全年合计</x:v>
      </x:c>
      <x:c r="F473" s="27" t="str">
        <x:v>博士前期課程</x:v>
      </x:c>
      <x:c r="G473" s="27" t="str">
        <x:v>公开选拔合计</x:v>
      </x:c>
      <x:c r="H473" s="27" t="str">
        <x:v>研究科合计</x:v>
      </x:c>
      <x:c r="I473" s="44" t="n">
        <x:v>487</x:v>
      </x:c>
      <x:c r="J473" s="44" t="n">
        <x:v>611</x:v>
      </x:c>
      <x:c r="K473" s="44"/>
      <x:c r="L473" s="44"/>
      <x:c r="M473" s="44" t="n">
        <x:v>535</x:v>
      </x:c>
      <x:c r="N473" s="45" t="str">
        <x:f>IF(AND(J473&lt;&gt;"",L473&lt;&gt;0),J473/L473,"")</x:f>
      </x:c>
      <x:c r="O473" s="45" t="str">
        <x:f>IF(AND(K473&lt;&gt;"",L473&lt;&gt;0),K473/L473,"")</x:f>
      </x:c>
      <x:c r="P473" s="46" t="str">
        <x:f>IF(AND(K473&lt;&gt;"",K473&lt;&gt;0,L473&lt;&gt;""),L473/K473,"")</x:f>
      </x:c>
      <x:c r="Q473" s="46" t="str">
        <x:f>IF(AND(L473&lt;&gt;"",L473&lt;&gt;0,M473&lt;&gt;""),M473/L473,"")</x:f>
      </x:c>
      <x:c r="R473" s="45" t="str">
        <x:f>IF(N473&lt;&gt;"",N473,IF(O473&lt;&gt;"",O473,""))</x:f>
      </x:c>
      <x:c r="S473" s="2" t="str">
        <x:f>IF(N473&lt;&gt;"","志愿/合格",IF(O473&lt;&gt;"","受验/合格",""))</x:f>
      </x:c>
      <x:c r="T473" s="2" t="str">
        <x:v>官方</x:v>
      </x:c>
      <x:c r="U473" s="2" t="str">
        <x:v>高</x:v>
      </x:c>
      <x:c r="V473" s="27" t="str">
        <x:v>新潟大学概要リーフレット 2024</x:v>
      </x:c>
      <x:c r="W473" s="27" t="str">
        <x:v>大学院入学者／自然科学研究科</x:v>
      </x:c>
      <x:c r="X473" s="27" t="str">
        <x:v>https://www.niigata-u.ac.jp/wp-content/uploads/2024/07/leaflet2024.pdf</x:v>
      </x:c>
      <x:c r="Y473" s="27" t="str">
        <x:v>研究科合计，未拆分电气信息工学、数理物质科学各课程</x:v>
      </x:c>
      <x:c r="Z473" s="47" t="str">
        <x:v>官方注：仅公开选拔结果；不含非公开DDP及国费留学生</x:v>
      </x:c>
    </x:row>
    <x:row r="474" ht="38" customHeight="1">
      <x:c r="A474" s="2" t="str">
        <x:v>新潟大学</x:v>
      </x:c>
      <x:c r="B474" s="2" t="str">
        <x:v>自然科学研究科</x:v>
      </x:c>
      <x:c r="C474" s="2" t="str">
        <x:v>（研究科合计）</x:v>
      </x:c>
      <x:c r="D474" s="44" t="n">
        <x:v>2025</x:v>
      </x:c>
      <x:c r="E474" s="27" t="str">
        <x:v>全年合计</x:v>
      </x:c>
      <x:c r="F474" s="27" t="str">
        <x:v>博士前期課程</x:v>
      </x:c>
      <x:c r="G474" s="27" t="str">
        <x:v>公开选拔合计</x:v>
      </x:c>
      <x:c r="H474" s="27" t="str">
        <x:v>研究科合计</x:v>
      </x:c>
      <x:c r="I474" s="44" t="n">
        <x:v>502</x:v>
      </x:c>
      <x:c r="J474" s="44" t="n">
        <x:v>626</x:v>
      </x:c>
      <x:c r="K474" s="44"/>
      <x:c r="L474" s="44"/>
      <x:c r="M474" s="44" t="n">
        <x:v>568</x:v>
      </x:c>
      <x:c r="N474" s="45" t="str">
        <x:f>IF(AND(J474&lt;&gt;"",L474&lt;&gt;0),J474/L474,"")</x:f>
      </x:c>
      <x:c r="O474" s="45" t="str">
        <x:f>IF(AND(K474&lt;&gt;"",L474&lt;&gt;0),K474/L474,"")</x:f>
      </x:c>
      <x:c r="P474" s="46" t="str">
        <x:f>IF(AND(K474&lt;&gt;"",K474&lt;&gt;0,L474&lt;&gt;""),L474/K474,"")</x:f>
      </x:c>
      <x:c r="Q474" s="46" t="str">
        <x:f>IF(AND(L474&lt;&gt;"",L474&lt;&gt;0,M474&lt;&gt;""),M474/L474,"")</x:f>
      </x:c>
      <x:c r="R474" s="45" t="str">
        <x:f>IF(N474&lt;&gt;"",N474,IF(O474&lt;&gt;"",O474,""))</x:f>
      </x:c>
      <x:c r="S474" s="2" t="str">
        <x:f>IF(N474&lt;&gt;"","志愿/合格",IF(O474&lt;&gt;"","受验/合格",""))</x:f>
      </x:c>
      <x:c r="T474" s="2" t="str">
        <x:v>官方</x:v>
      </x:c>
      <x:c r="U474" s="2" t="str">
        <x:v>高</x:v>
      </x:c>
      <x:c r="V474" s="27" t="str">
        <x:v>新潟大学概要リーフレット 2025</x:v>
      </x:c>
      <x:c r="W474" s="27" t="str">
        <x:v>大学院入学者／自然科学研究科</x:v>
      </x:c>
      <x:c r="X474" s="27" t="str">
        <x:v>https://www.niigata-u.ac.jp/wp-content/uploads/2025/09/leaflet2025_sep.pdf</x:v>
      </x:c>
      <x:c r="Y474" s="27" t="str">
        <x:v>研究科合计，未拆分电气信息工学、数理物质科学各课程</x:v>
      </x:c>
      <x:c r="Z474" s="47" t="str">
        <x:v>官方注：仅公开选拔结果；2026年度改组为综合学术研究科</x:v>
      </x:c>
    </x:row>
    <x:row r="475" ht="38" customHeight="1">
      <x:c r="A475" s="2" t="str">
        <x:v>一橋大学</x:v>
      </x:c>
      <x:c r="B475" s="2" t="str">
        <x:v>経済学研究科</x:v>
      </x:c>
      <x:c r="C475" s="2" t="str">
        <x:v>（研究科合计）</x:v>
      </x:c>
      <x:c r="D475" s="44" t="n">
        <x:v>2022</x:v>
      </x:c>
      <x:c r="E475" s="27" t="str">
        <x:v>秋季</x:v>
      </x:c>
      <x:c r="F475" s="27" t="str">
        <x:v>修士課程</x:v>
      </x:c>
      <x:c r="G475" s="27" t="str">
        <x:v>一般・外国人留学生</x:v>
      </x:c>
      <x:c r="H475" s="27" t="str">
        <x:v>研究科合计</x:v>
      </x:c>
      <x:c r="I475" s="44"/>
      <x:c r="J475" s="44" t="n">
        <x:v>200</x:v>
      </x:c>
      <x:c r="K475" s="44"/>
      <x:c r="L475" s="44" t="n">
        <x:v>75</x:v>
      </x:c>
      <x:c r="M475" s="44" t="n">
        <x:v>48</x:v>
      </x:c>
      <x:c r="N475" s="45" t="n">
        <x:f>IF(AND(J475&lt;&gt;"",L475&lt;&gt;0),J475/L475,"")</x:f>
        <x:v>2.6666666666666665</x:v>
      </x:c>
      <x:c r="O475" s="45" t="str">
        <x:f>IF(AND(K475&lt;&gt;"",L475&lt;&gt;0),K475/L475,"")</x:f>
      </x:c>
      <x:c r="P475" s="46" t="str">
        <x:f>IF(AND(K475&lt;&gt;"",K475&lt;&gt;0,L475&lt;&gt;""),L475/K475,"")</x:f>
      </x:c>
      <x:c r="Q475" s="46" t="n">
        <x:f>IF(AND(L475&lt;&gt;"",L475&lt;&gt;0,M475&lt;&gt;""),M475/L475,"")</x:f>
        <x:v>0.64</x:v>
      </x:c>
      <x:c r="R475" s="45" t="n">
        <x:f>IF(N475&lt;&gt;"",N475,IF(O475&lt;&gt;"",O475,""))</x:f>
        <x:v>2.6666666666666665</x:v>
      </x:c>
      <x:c r="S475" s="2" t="str">
        <x:f>IF(N475&lt;&gt;"","志愿/合格",IF(O475&lt;&gt;"","受验/合格",""))</x:f>
        <x:v>志愿/合格</x:v>
      </x:c>
      <x:c r="T475" s="2" t="str">
        <x:v>官方</x:v>
      </x:c>
      <x:c r="U475" s="2" t="str">
        <x:v>高</x:v>
      </x:c>
      <x:c r="V475" s="27" t="str">
        <x:v>一橋大学大学院経済学研究科 入試結果 2022–2024</x:v>
      </x:c>
      <x:c r="W475" s="27" t="str">
        <x:v>2022年度 秋季入試</x:v>
      </x:c>
      <x:c r="X475" s="27" t="str">
        <x:v>https://www.econ.hit-u.ac.jp/jpn/download/examinee/graduate_admissions/nyushikekka2022-2024.pdf</x:v>
      </x:c>
      <x:c r="Y475" s="27" t="str">
        <x:v>研究科合计；无项目内更细专攻</x:v>
      </x:c>
      <x:c r="Z475" s="47" t="str">
        <x:v>一次合格者96人；不等同受验者</x:v>
      </x:c>
    </x:row>
    <x:row r="476" ht="38" customHeight="1">
      <x:c r="A476" s="2" t="str">
        <x:v>一橋大学</x:v>
      </x:c>
      <x:c r="B476" s="2" t="str">
        <x:v>経済学研究科</x:v>
      </x:c>
      <x:c r="C476" s="2" t="str">
        <x:v>（研究科合计）</x:v>
      </x:c>
      <x:c r="D476" s="44" t="n">
        <x:v>2022</x:v>
      </x:c>
      <x:c r="E476" s="27" t="str">
        <x:v>春季</x:v>
      </x:c>
      <x:c r="F476" s="27" t="str">
        <x:v>修士課程</x:v>
      </x:c>
      <x:c r="G476" s="27" t="str">
        <x:v>一般・外国人留学生</x:v>
      </x:c>
      <x:c r="H476" s="27" t="str">
        <x:v>研究科合计</x:v>
      </x:c>
      <x:c r="I476" s="44"/>
      <x:c r="J476" s="44" t="n">
        <x:v>59</x:v>
      </x:c>
      <x:c r="K476" s="44"/>
      <x:c r="L476" s="44" t="n">
        <x:v>32</x:v>
      </x:c>
      <x:c r="M476" s="44" t="n">
        <x:v>31</x:v>
      </x:c>
      <x:c r="N476" s="45" t="n">
        <x:f>IF(AND(J476&lt;&gt;"",L476&lt;&gt;0),J476/L476,"")</x:f>
        <x:v>1.84375</x:v>
      </x:c>
      <x:c r="O476" s="45" t="str">
        <x:f>IF(AND(K476&lt;&gt;"",L476&lt;&gt;0),K476/L476,"")</x:f>
      </x:c>
      <x:c r="P476" s="46" t="str">
        <x:f>IF(AND(K476&lt;&gt;"",K476&lt;&gt;0,L476&lt;&gt;""),L476/K476,"")</x:f>
      </x:c>
      <x:c r="Q476" s="46" t="n">
        <x:f>IF(AND(L476&lt;&gt;"",L476&lt;&gt;0,M476&lt;&gt;""),M476/L476,"")</x:f>
        <x:v>0.96875</x:v>
      </x:c>
      <x:c r="R476" s="45" t="n">
        <x:f>IF(N476&lt;&gt;"",N476,IF(O476&lt;&gt;"",O476,""))</x:f>
        <x:v>1.84375</x:v>
      </x:c>
      <x:c r="S476" s="2" t="str">
        <x:f>IF(N476&lt;&gt;"","志愿/合格",IF(O476&lt;&gt;"","受验/合格",""))</x:f>
        <x:v>志愿/合格</x:v>
      </x:c>
      <x:c r="T476" s="2" t="str">
        <x:v>官方</x:v>
      </x:c>
      <x:c r="U476" s="2" t="str">
        <x:v>高</x:v>
      </x:c>
      <x:c r="V476" s="27" t="str">
        <x:v>一橋大学大学院経済学研究科 入試結果 2022–2024</x:v>
      </x:c>
      <x:c r="W476" s="27" t="str">
        <x:v>2022年度 春季入試</x:v>
      </x:c>
      <x:c r="X476" s="27" t="str">
        <x:v>https://www.econ.hit-u.ac.jp/jpn/download/examinee/graduate_admissions/nyushikekka2022-2024.pdf</x:v>
      </x:c>
      <x:c r="Y476" s="27" t="str">
        <x:v>研究科合计；无项目内更细专攻</x:v>
      </x:c>
      <x:c r="Z476" s="47" t="str">
        <x:v>一次合格者59人；不等同受验者</x:v>
      </x:c>
    </x:row>
    <x:row r="477" ht="38" customHeight="1">
      <x:c r="A477" s="2" t="str">
        <x:v>一橋大学</x:v>
      </x:c>
      <x:c r="B477" s="2" t="str">
        <x:v>経済学研究科</x:v>
      </x:c>
      <x:c r="C477" s="2" t="str">
        <x:v>（研究科合计）</x:v>
      </x:c>
      <x:c r="D477" s="44" t="n">
        <x:v>2022</x:v>
      </x:c>
      <x:c r="E477" s="27" t="str">
        <x:v>全年合计</x:v>
      </x:c>
      <x:c r="F477" s="27" t="str">
        <x:v>修士課程</x:v>
      </x:c>
      <x:c r="G477" s="27" t="str">
        <x:v>一般・外国人留学生</x:v>
      </x:c>
      <x:c r="H477" s="27" t="str">
        <x:v>研究科合计</x:v>
      </x:c>
      <x:c r="I477" s="44" t="n">
        <x:v>82</x:v>
      </x:c>
      <x:c r="J477" s="44" t="n">
        <x:v>259</x:v>
      </x:c>
      <x:c r="K477" s="44"/>
      <x:c r="L477" s="44" t="n">
        <x:v>107</x:v>
      </x:c>
      <x:c r="M477" s="44" t="n">
        <x:v>79</x:v>
      </x:c>
      <x:c r="N477" s="45" t="n">
        <x:f>IF(AND(J477&lt;&gt;"",L477&lt;&gt;0),J477/L477,"")</x:f>
        <x:v>2.4205607476635516</x:v>
      </x:c>
      <x:c r="O477" s="45" t="str">
        <x:f>IF(AND(K477&lt;&gt;"",L477&lt;&gt;0),K477/L477,"")</x:f>
      </x:c>
      <x:c r="P477" s="46" t="str">
        <x:f>IF(AND(K477&lt;&gt;"",K477&lt;&gt;0,L477&lt;&gt;""),L477/K477,"")</x:f>
      </x:c>
      <x:c r="Q477" s="46" t="n">
        <x:f>IF(AND(L477&lt;&gt;"",L477&lt;&gt;0,M477&lt;&gt;""),M477/L477,"")</x:f>
        <x:v>0.7383177570093458</x:v>
      </x:c>
      <x:c r="R477" s="45" t="n">
        <x:f>IF(N477&lt;&gt;"",N477,IF(O477&lt;&gt;"",O477,""))</x:f>
        <x:v>2.4205607476635516</x:v>
      </x:c>
      <x:c r="S477" s="2" t="str">
        <x:f>IF(N477&lt;&gt;"","志愿/合格",IF(O477&lt;&gt;"","受验/合格",""))</x:f>
        <x:v>志愿/合格</x:v>
      </x:c>
      <x:c r="T477" s="2" t="str">
        <x:v>官方</x:v>
      </x:c>
      <x:c r="U477" s="2" t="str">
        <x:v>高</x:v>
      </x:c>
      <x:c r="V477" s="27" t="str">
        <x:v>一橋大学大学院経済学研究科 入試結果 2022–2024</x:v>
      </x:c>
      <x:c r="W477" s="27" t="str">
        <x:v>2022年度 秋季+春季合计（本表汇总）</x:v>
      </x:c>
      <x:c r="X477" s="27" t="str">
        <x:v>https://www.econ.hit-u.ac.jp/jpn/download/examinee/graduate_admissions/nyushikekka2022-2024.pdf</x:v>
      </x:c>
      <x:c r="Y477" s="27" t="str">
        <x:v>研究科合计；无项目内更细专攻</x:v>
      </x:c>
      <x:c r="Z477" s="47" t="str">
        <x:v>全年合计由官方分期数据相加</x:v>
      </x:c>
    </x:row>
    <x:row r="478" ht="38" customHeight="1">
      <x:c r="A478" s="2" t="str">
        <x:v>一橋大学</x:v>
      </x:c>
      <x:c r="B478" s="2" t="str">
        <x:v>経済学研究科</x:v>
      </x:c>
      <x:c r="C478" s="2" t="str">
        <x:v>（研究科合计）</x:v>
      </x:c>
      <x:c r="D478" s="44" t="n">
        <x:v>2023</x:v>
      </x:c>
      <x:c r="E478" s="27" t="str">
        <x:v>秋季</x:v>
      </x:c>
      <x:c r="F478" s="27" t="str">
        <x:v>修士課程</x:v>
      </x:c>
      <x:c r="G478" s="27" t="str">
        <x:v>一般・外国人留学生</x:v>
      </x:c>
      <x:c r="H478" s="27" t="str">
        <x:v>研究科合计</x:v>
      </x:c>
      <x:c r="I478" s="44"/>
      <x:c r="J478" s="44" t="n">
        <x:v>192</x:v>
      </x:c>
      <x:c r="K478" s="44"/>
      <x:c r="L478" s="44" t="n">
        <x:v>78</x:v>
      </x:c>
      <x:c r="M478" s="44" t="n">
        <x:v>48</x:v>
      </x:c>
      <x:c r="N478" s="45" t="n">
        <x:f>IF(AND(J478&lt;&gt;"",L478&lt;&gt;0),J478/L478,"")</x:f>
        <x:v>2.4615384615384617</x:v>
      </x:c>
      <x:c r="O478" s="45" t="str">
        <x:f>IF(AND(K478&lt;&gt;"",L478&lt;&gt;0),K478/L478,"")</x:f>
      </x:c>
      <x:c r="P478" s="46" t="str">
        <x:f>IF(AND(K478&lt;&gt;"",K478&lt;&gt;0,L478&lt;&gt;""),L478/K478,"")</x:f>
      </x:c>
      <x:c r="Q478" s="46" t="n">
        <x:f>IF(AND(L478&lt;&gt;"",L478&lt;&gt;0,M478&lt;&gt;""),M478/L478,"")</x:f>
        <x:v>0.6153846153846154</x:v>
      </x:c>
      <x:c r="R478" s="45" t="n">
        <x:f>IF(N478&lt;&gt;"",N478,IF(O478&lt;&gt;"",O478,""))</x:f>
        <x:v>2.4615384615384617</x:v>
      </x:c>
      <x:c r="S478" s="2" t="str">
        <x:f>IF(N478&lt;&gt;"","志愿/合格",IF(O478&lt;&gt;"","受验/合格",""))</x:f>
        <x:v>志愿/合格</x:v>
      </x:c>
      <x:c r="T478" s="2" t="str">
        <x:v>官方</x:v>
      </x:c>
      <x:c r="U478" s="2" t="str">
        <x:v>高</x:v>
      </x:c>
      <x:c r="V478" s="27" t="str">
        <x:v>一橋大学大学院経済学研究科 入試結果 2022–2024</x:v>
      </x:c>
      <x:c r="W478" s="27" t="str">
        <x:v>2023年度 秋季入試</x:v>
      </x:c>
      <x:c r="X478" s="27" t="str">
        <x:v>https://www.econ.hit-u.ac.jp/jpn/download/examinee/graduate_admissions/nyushikekka2022-2024.pdf</x:v>
      </x:c>
      <x:c r="Y478" s="27" t="str">
        <x:v>研究科合计；无项目内更细专攻</x:v>
      </x:c>
      <x:c r="Z478" s="47" t="str">
        <x:v>一次合格者108人；不等同受验者</x:v>
      </x:c>
    </x:row>
    <x:row r="479" ht="38" customHeight="1">
      <x:c r="A479" s="2" t="str">
        <x:v>一橋大学</x:v>
      </x:c>
      <x:c r="B479" s="2" t="str">
        <x:v>経済学研究科</x:v>
      </x:c>
      <x:c r="C479" s="2" t="str">
        <x:v>（研究科合计）</x:v>
      </x:c>
      <x:c r="D479" s="44" t="n">
        <x:v>2023</x:v>
      </x:c>
      <x:c r="E479" s="27" t="str">
        <x:v>春季</x:v>
      </x:c>
      <x:c r="F479" s="27" t="str">
        <x:v>修士課程</x:v>
      </x:c>
      <x:c r="G479" s="27" t="str">
        <x:v>一般・外国人留学生</x:v>
      </x:c>
      <x:c r="H479" s="27" t="str">
        <x:v>研究科合计</x:v>
      </x:c>
      <x:c r="I479" s="44"/>
      <x:c r="J479" s="44" t="n">
        <x:v>63</x:v>
      </x:c>
      <x:c r="K479" s="44"/>
      <x:c r="L479" s="44" t="n">
        <x:v>32</x:v>
      </x:c>
      <x:c r="M479" s="44" t="n">
        <x:v>26</x:v>
      </x:c>
      <x:c r="N479" s="45" t="n">
        <x:f>IF(AND(J479&lt;&gt;"",L479&lt;&gt;0),J479/L479,"")</x:f>
        <x:v>1.96875</x:v>
      </x:c>
      <x:c r="O479" s="45" t="str">
        <x:f>IF(AND(K479&lt;&gt;"",L479&lt;&gt;0),K479/L479,"")</x:f>
      </x:c>
      <x:c r="P479" s="46" t="str">
        <x:f>IF(AND(K479&lt;&gt;"",K479&lt;&gt;0,L479&lt;&gt;""),L479/K479,"")</x:f>
      </x:c>
      <x:c r="Q479" s="46" t="n">
        <x:f>IF(AND(L479&lt;&gt;"",L479&lt;&gt;0,M479&lt;&gt;""),M479/L479,"")</x:f>
        <x:v>0.8125</x:v>
      </x:c>
      <x:c r="R479" s="45" t="n">
        <x:f>IF(N479&lt;&gt;"",N479,IF(O479&lt;&gt;"",O479,""))</x:f>
        <x:v>1.96875</x:v>
      </x:c>
      <x:c r="S479" s="2" t="str">
        <x:f>IF(N479&lt;&gt;"","志愿/合格",IF(O479&lt;&gt;"","受验/合格",""))</x:f>
        <x:v>志愿/合格</x:v>
      </x:c>
      <x:c r="T479" s="2" t="str">
        <x:v>官方</x:v>
      </x:c>
      <x:c r="U479" s="2" t="str">
        <x:v>高</x:v>
      </x:c>
      <x:c r="V479" s="27" t="str">
        <x:v>一橋大学大学院経済学研究科 入試結果 2022–2024</x:v>
      </x:c>
      <x:c r="W479" s="27" t="str">
        <x:v>2023年度 春季入試</x:v>
      </x:c>
      <x:c r="X479" s="27" t="str">
        <x:v>https://www.econ.hit-u.ac.jp/jpn/download/examinee/graduate_admissions/nyushikekka2022-2024.pdf</x:v>
      </x:c>
      <x:c r="Y479" s="27" t="str">
        <x:v>研究科合计；无项目内更细专攻</x:v>
      </x:c>
      <x:c r="Z479" s="47" t="str">
        <x:v>一次合格者60人；不等同受验者</x:v>
      </x:c>
    </x:row>
    <x:row r="480" ht="38" customHeight="1">
      <x:c r="A480" s="2" t="str">
        <x:v>一橋大学</x:v>
      </x:c>
      <x:c r="B480" s="2" t="str">
        <x:v>経済学研究科</x:v>
      </x:c>
      <x:c r="C480" s="2" t="str">
        <x:v>（研究科合计）</x:v>
      </x:c>
      <x:c r="D480" s="44" t="n">
        <x:v>2023</x:v>
      </x:c>
      <x:c r="E480" s="27" t="str">
        <x:v>全年合计</x:v>
      </x:c>
      <x:c r="F480" s="27" t="str">
        <x:v>修士課程</x:v>
      </x:c>
      <x:c r="G480" s="27" t="str">
        <x:v>一般・外国人留学生</x:v>
      </x:c>
      <x:c r="H480" s="27" t="str">
        <x:v>研究科合计</x:v>
      </x:c>
      <x:c r="I480" s="44" t="n">
        <x:v>82</x:v>
      </x:c>
      <x:c r="J480" s="44" t="n">
        <x:v>255</x:v>
      </x:c>
      <x:c r="K480" s="44"/>
      <x:c r="L480" s="44" t="n">
        <x:v>110</x:v>
      </x:c>
      <x:c r="M480" s="44" t="n">
        <x:v>74</x:v>
      </x:c>
      <x:c r="N480" s="45" t="n">
        <x:f>IF(AND(J480&lt;&gt;"",L480&lt;&gt;0),J480/L480,"")</x:f>
        <x:v>2.3181818181818183</x:v>
      </x:c>
      <x:c r="O480" s="45" t="str">
        <x:f>IF(AND(K480&lt;&gt;"",L480&lt;&gt;0),K480/L480,"")</x:f>
      </x:c>
      <x:c r="P480" s="46" t="str">
        <x:f>IF(AND(K480&lt;&gt;"",K480&lt;&gt;0,L480&lt;&gt;""),L480/K480,"")</x:f>
      </x:c>
      <x:c r="Q480" s="46" t="n">
        <x:f>IF(AND(L480&lt;&gt;"",L480&lt;&gt;0,M480&lt;&gt;""),M480/L480,"")</x:f>
        <x:v>0.6727272727272727</x:v>
      </x:c>
      <x:c r="R480" s="45" t="n">
        <x:f>IF(N480&lt;&gt;"",N480,IF(O480&lt;&gt;"",O480,""))</x:f>
        <x:v>2.3181818181818183</x:v>
      </x:c>
      <x:c r="S480" s="2" t="str">
        <x:f>IF(N480&lt;&gt;"","志愿/合格",IF(O480&lt;&gt;"","受验/合格",""))</x:f>
        <x:v>志愿/合格</x:v>
      </x:c>
      <x:c r="T480" s="2" t="str">
        <x:v>官方</x:v>
      </x:c>
      <x:c r="U480" s="2" t="str">
        <x:v>高</x:v>
      </x:c>
      <x:c r="V480" s="27" t="str">
        <x:v>一橋大学大学院経済学研究科 入試結果 2022–2024</x:v>
      </x:c>
      <x:c r="W480" s="27" t="str">
        <x:v>2023年度 秋季+春季合计（本表汇总）</x:v>
      </x:c>
      <x:c r="X480" s="27" t="str">
        <x:v>https://www.econ.hit-u.ac.jp/jpn/download/examinee/graduate_admissions/nyushikekka2022-2024.pdf</x:v>
      </x:c>
      <x:c r="Y480" s="27" t="str">
        <x:v>研究科合计；无项目内更细专攻</x:v>
      </x:c>
      <x:c r="Z480" s="47" t="str">
        <x:v>全年合计由官方分期数据相加</x:v>
      </x:c>
    </x:row>
    <x:row r="481" ht="38" customHeight="1">
      <x:c r="A481" s="2" t="str">
        <x:v>一橋大学</x:v>
      </x:c>
      <x:c r="B481" s="2" t="str">
        <x:v>経済学研究科</x:v>
      </x:c>
      <x:c r="C481" s="2" t="str">
        <x:v>（研究科合计）</x:v>
      </x:c>
      <x:c r="D481" s="44" t="n">
        <x:v>2024</x:v>
      </x:c>
      <x:c r="E481" s="27" t="str">
        <x:v>秋季</x:v>
      </x:c>
      <x:c r="F481" s="27" t="str">
        <x:v>修士課程</x:v>
      </x:c>
      <x:c r="G481" s="27" t="str">
        <x:v>一般・外国人留学生</x:v>
      </x:c>
      <x:c r="H481" s="27" t="str">
        <x:v>研究科合计</x:v>
      </x:c>
      <x:c r="I481" s="44"/>
      <x:c r="J481" s="44" t="n">
        <x:v>239</x:v>
      </x:c>
      <x:c r="K481" s="44"/>
      <x:c r="L481" s="44" t="n">
        <x:v>93</x:v>
      </x:c>
      <x:c r="M481" s="44" t="n">
        <x:v>57</x:v>
      </x:c>
      <x:c r="N481" s="45" t="n">
        <x:f>IF(AND(J481&lt;&gt;"",L481&lt;&gt;0),J481/L481,"")</x:f>
        <x:v>2.5698924731182795</x:v>
      </x:c>
      <x:c r="O481" s="45" t="str">
        <x:f>IF(AND(K481&lt;&gt;"",L481&lt;&gt;0),K481/L481,"")</x:f>
      </x:c>
      <x:c r="P481" s="46" t="str">
        <x:f>IF(AND(K481&lt;&gt;"",K481&lt;&gt;0,L481&lt;&gt;""),L481/K481,"")</x:f>
      </x:c>
      <x:c r="Q481" s="46" t="n">
        <x:f>IF(AND(L481&lt;&gt;"",L481&lt;&gt;0,M481&lt;&gt;""),M481/L481,"")</x:f>
        <x:v>0.6129032258064516</x:v>
      </x:c>
      <x:c r="R481" s="45" t="n">
        <x:f>IF(N481&lt;&gt;"",N481,IF(O481&lt;&gt;"",O481,""))</x:f>
        <x:v>2.5698924731182795</x:v>
      </x:c>
      <x:c r="S481" s="2" t="str">
        <x:f>IF(N481&lt;&gt;"","志愿/合格",IF(O481&lt;&gt;"","受验/合格",""))</x:f>
        <x:v>志愿/合格</x:v>
      </x:c>
      <x:c r="T481" s="2" t="str">
        <x:v>官方</x:v>
      </x:c>
      <x:c r="U481" s="2" t="str">
        <x:v>高</x:v>
      </x:c>
      <x:c r="V481" s="27" t="str">
        <x:v>一橋大学大学院経済学研究科 入試結果 2022–2024</x:v>
      </x:c>
      <x:c r="W481" s="27" t="str">
        <x:v>2024年度 秋季入試</x:v>
      </x:c>
      <x:c r="X481" s="27" t="str">
        <x:v>https://www.econ.hit-u.ac.jp/jpn/download/examinee/graduate_admissions/nyushikekka2022-2024.pdf</x:v>
      </x:c>
      <x:c r="Y481" s="27" t="str">
        <x:v>研究科合计；无项目内更细专攻</x:v>
      </x:c>
      <x:c r="Z481" s="47" t="str">
        <x:v>一次合格者122人；不等同受验者</x:v>
      </x:c>
    </x:row>
    <x:row r="482" ht="38" customHeight="1">
      <x:c r="A482" s="2" t="str">
        <x:v>一橋大学</x:v>
      </x:c>
      <x:c r="B482" s="2" t="str">
        <x:v>経済学研究科</x:v>
      </x:c>
      <x:c r="C482" s="2" t="str">
        <x:v>（研究科合计）</x:v>
      </x:c>
      <x:c r="D482" s="44" t="n">
        <x:v>2024</x:v>
      </x:c>
      <x:c r="E482" s="27" t="str">
        <x:v>春季</x:v>
      </x:c>
      <x:c r="F482" s="27" t="str">
        <x:v>修士課程</x:v>
      </x:c>
      <x:c r="G482" s="27" t="str">
        <x:v>一般・外国人留学生</x:v>
      </x:c>
      <x:c r="H482" s="27" t="str">
        <x:v>研究科合计</x:v>
      </x:c>
      <x:c r="I482" s="44"/>
      <x:c r="J482" s="44" t="n">
        <x:v>113</x:v>
      </x:c>
      <x:c r="K482" s="44"/>
      <x:c r="L482" s="44" t="n">
        <x:v>32</x:v>
      </x:c>
      <x:c r="M482" s="44" t="n">
        <x:v>30</x:v>
      </x:c>
      <x:c r="N482" s="45" t="n">
        <x:f>IF(AND(J482&lt;&gt;"",L482&lt;&gt;0),J482/L482,"")</x:f>
        <x:v>3.53125</x:v>
      </x:c>
      <x:c r="O482" s="45" t="str">
        <x:f>IF(AND(K482&lt;&gt;"",L482&lt;&gt;0),K482/L482,"")</x:f>
      </x:c>
      <x:c r="P482" s="46" t="str">
        <x:f>IF(AND(K482&lt;&gt;"",K482&lt;&gt;0,L482&lt;&gt;""),L482/K482,"")</x:f>
      </x:c>
      <x:c r="Q482" s="46" t="n">
        <x:f>IF(AND(L482&lt;&gt;"",L482&lt;&gt;0,M482&lt;&gt;""),M482/L482,"")</x:f>
        <x:v>0.9375</x:v>
      </x:c>
      <x:c r="R482" s="45" t="n">
        <x:f>IF(N482&lt;&gt;"",N482,IF(O482&lt;&gt;"",O482,""))</x:f>
        <x:v>3.53125</x:v>
      </x:c>
      <x:c r="S482" s="2" t="str">
        <x:f>IF(N482&lt;&gt;"","志愿/合格",IF(O482&lt;&gt;"","受验/合格",""))</x:f>
        <x:v>志愿/合格</x:v>
      </x:c>
      <x:c r="T482" s="2" t="str">
        <x:v>官方</x:v>
      </x:c>
      <x:c r="U482" s="2" t="str">
        <x:v>高</x:v>
      </x:c>
      <x:c r="V482" s="27" t="str">
        <x:v>一橋大学大学院経済学研究科 入試結果 2022–2024</x:v>
      </x:c>
      <x:c r="W482" s="27" t="str">
        <x:v>2024年度 春季入試</x:v>
      </x:c>
      <x:c r="X482" s="27" t="str">
        <x:v>https://www.econ.hit-u.ac.jp/jpn/download/examinee/graduate_admissions/nyushikekka2022-2024.pdf</x:v>
      </x:c>
      <x:c r="Y482" s="27" t="str">
        <x:v>研究科合计；无项目内更细专攻</x:v>
      </x:c>
      <x:c r="Z482" s="47" t="str">
        <x:v>一次合格者78人；不等同受验者</x:v>
      </x:c>
    </x:row>
    <x:row r="483" ht="38" customHeight="1">
      <x:c r="A483" s="2" t="str">
        <x:v>一橋大学</x:v>
      </x:c>
      <x:c r="B483" s="2" t="str">
        <x:v>経済学研究科</x:v>
      </x:c>
      <x:c r="C483" s="2" t="str">
        <x:v>（研究科合计）</x:v>
      </x:c>
      <x:c r="D483" s="44" t="n">
        <x:v>2024</x:v>
      </x:c>
      <x:c r="E483" s="27" t="str">
        <x:v>全年合计</x:v>
      </x:c>
      <x:c r="F483" s="27" t="str">
        <x:v>修士課程</x:v>
      </x:c>
      <x:c r="G483" s="27" t="str">
        <x:v>一般・外国人留学生</x:v>
      </x:c>
      <x:c r="H483" s="27" t="str">
        <x:v>研究科合计</x:v>
      </x:c>
      <x:c r="I483" s="44" t="n">
        <x:v>82</x:v>
      </x:c>
      <x:c r="J483" s="44" t="n">
        <x:v>352</x:v>
      </x:c>
      <x:c r="K483" s="44"/>
      <x:c r="L483" s="44" t="n">
        <x:v>125</x:v>
      </x:c>
      <x:c r="M483" s="44" t="n">
        <x:v>87</x:v>
      </x:c>
      <x:c r="N483" s="45" t="n">
        <x:f>IF(AND(J483&lt;&gt;"",L483&lt;&gt;0),J483/L483,"")</x:f>
        <x:v>2.816</x:v>
      </x:c>
      <x:c r="O483" s="45" t="str">
        <x:f>IF(AND(K483&lt;&gt;"",L483&lt;&gt;0),K483/L483,"")</x:f>
      </x:c>
      <x:c r="P483" s="46" t="str">
        <x:f>IF(AND(K483&lt;&gt;"",K483&lt;&gt;0,L483&lt;&gt;""),L483/K483,"")</x:f>
      </x:c>
      <x:c r="Q483" s="46" t="n">
        <x:f>IF(AND(L483&lt;&gt;"",L483&lt;&gt;0,M483&lt;&gt;""),M483/L483,"")</x:f>
        <x:v>0.696</x:v>
      </x:c>
      <x:c r="R483" s="45" t="n">
        <x:f>IF(N483&lt;&gt;"",N483,IF(O483&lt;&gt;"",O483,""))</x:f>
        <x:v>2.816</x:v>
      </x:c>
      <x:c r="S483" s="2" t="str">
        <x:f>IF(N483&lt;&gt;"","志愿/合格",IF(O483&lt;&gt;"","受验/合格",""))</x:f>
        <x:v>志愿/合格</x:v>
      </x:c>
      <x:c r="T483" s="2" t="str">
        <x:v>官方</x:v>
      </x:c>
      <x:c r="U483" s="2" t="str">
        <x:v>高</x:v>
      </x:c>
      <x:c r="V483" s="27" t="str">
        <x:v>一橋大学大学院経済学研究科 入試結果 2022–2024</x:v>
      </x:c>
      <x:c r="W483" s="27" t="str">
        <x:v>2024年度 秋季+春季合计（本表汇总）</x:v>
      </x:c>
      <x:c r="X483" s="27" t="str">
        <x:v>https://www.econ.hit-u.ac.jp/jpn/download/examinee/graduate_admissions/nyushikekka2022-2024.pdf</x:v>
      </x:c>
      <x:c r="Y483" s="27" t="str">
        <x:v>研究科合计；无项目内更细专攻</x:v>
      </x:c>
      <x:c r="Z483" s="47" t="str">
        <x:v>全年合计由官方分期数据相加</x:v>
      </x:c>
    </x:row>
    <x:row r="484" ht="38" customHeight="1">
      <x:c r="A484" s="2" t="str">
        <x:v>公立はこだて未来大学</x:v>
      </x:c>
      <x:c r="B484" s="2" t="str">
        <x:v>システム情報科学研究科</x:v>
      </x:c>
      <x:c r="C484" s="2" t="str">
        <x:v>（研究科合计）</x:v>
      </x:c>
      <x:c r="D484" s="44" t="n">
        <x:v>2022</x:v>
      </x:c>
      <x:c r="E484" s="27" t="str">
        <x:v>夏季（8月）</x:v>
      </x:c>
      <x:c r="F484" s="27" t="str">
        <x:v>博士前期課程</x:v>
      </x:c>
      <x:c r="G484" s="27" t="str">
        <x:v>一般+特別 合计</x:v>
      </x:c>
      <x:c r="H484" s="27" t="str">
        <x:v>研究科合计</x:v>
      </x:c>
      <x:c r="I484" s="44" t="n">
        <x:v>50</x:v>
      </x:c>
      <x:c r="J484" s="44" t="n">
        <x:v>86</x:v>
      </x:c>
      <x:c r="K484" s="44" t="n">
        <x:v>85</x:v>
      </x:c>
      <x:c r="L484" s="44" t="n">
        <x:v>77</x:v>
      </x:c>
      <x:c r="M484" s="44" t="n">
        <x:v>75</x:v>
      </x:c>
      <x:c r="N484" s="45" t="n">
        <x:f>IF(AND(J484&lt;&gt;"",L484&lt;&gt;0),J484/L484,"")</x:f>
        <x:v>1.1168831168831168</x:v>
      </x:c>
      <x:c r="O484" s="45" t="n">
        <x:f>IF(AND(K484&lt;&gt;"",L484&lt;&gt;0),K484/L484,"")</x:f>
        <x:v>1.103896103896104</x:v>
      </x:c>
      <x:c r="P484" s="46" t="n">
        <x:f>IF(AND(K484&lt;&gt;"",K484&lt;&gt;0,L484&lt;&gt;""),L484/K484,"")</x:f>
        <x:v>0.9058823529411765</x:v>
      </x:c>
      <x:c r="Q484" s="46" t="n">
        <x:f>IF(AND(L484&lt;&gt;"",L484&lt;&gt;0,M484&lt;&gt;""),M484/L484,"")</x:f>
        <x:v>0.974025974025974</x:v>
      </x:c>
      <x:c r="R484" s="45" t="n">
        <x:f>IF(N484&lt;&gt;"",N484,IF(O484&lt;&gt;"",O484,""))</x:f>
        <x:v>1.1168831168831168</x:v>
      </x:c>
      <x:c r="S484" s="2" t="str">
        <x:f>IF(N484&lt;&gt;"","志愿/合格",IF(O484&lt;&gt;"","受验/合格",""))</x:f>
        <x:v>志愿/合格</x:v>
      </x:c>
      <x:c r="T484" s="2" t="str">
        <x:v>官方</x:v>
      </x:c>
      <x:c r="U484" s="2" t="str">
        <x:v>高</x:v>
      </x:c>
      <x:c r="V484" s="27" t="str">
        <x:v>公立はこだて未来大学 過去の大学院入試データ</x:v>
      </x:c>
      <x:c r="W484" s="27" t="str">
        <x:v>2022年度4月入学／2021年8月実施</x:v>
      </x:c>
      <x:c r="X484" s="27" t="str">
        <x:v>https://www.fun.ac.jp/admission/admission-graduate-school/result-gsexam-graduate/</x:v>
      </x:c>
      <x:c r="Y484" s="27" t="str">
        <x:v>研究科合计；项目中的“基础数学”是考试科目，不是招生专攻</x:v>
      </x:c>
      <x:c r="Z484" s="47" t="str"/>
    </x:row>
    <x:row r="485" ht="38" customHeight="1">
      <x:c r="A485" s="2" t="str">
        <x:v>公立はこだて未来大学</x:v>
      </x:c>
      <x:c r="B485" s="2" t="str">
        <x:v>システム情報科学研究科</x:v>
      </x:c>
      <x:c r="C485" s="2" t="str">
        <x:v>（研究科合计）</x:v>
      </x:c>
      <x:c r="D485" s="44" t="n">
        <x:v>2022</x:v>
      </x:c>
      <x:c r="E485" s="27" t="str">
        <x:v>冬季（2月）</x:v>
      </x:c>
      <x:c r="F485" s="27" t="str">
        <x:v>博士前期課程</x:v>
      </x:c>
      <x:c r="G485" s="27" t="str">
        <x:v>一般+特別 合计</x:v>
      </x:c>
      <x:c r="H485" s="27" t="str">
        <x:v>研究科合计</x:v>
      </x:c>
      <x:c r="I485" s="44"/>
      <x:c r="J485" s="44" t="n">
        <x:v>4</x:v>
      </x:c>
      <x:c r="K485" s="44" t="n">
        <x:v>4</x:v>
      </x:c>
      <x:c r="L485" s="44" t="n">
        <x:v>3</x:v>
      </x:c>
      <x:c r="M485" s="44" t="n">
        <x:v>3</x:v>
      </x:c>
      <x:c r="N485" s="45" t="n">
        <x:f>IF(AND(J485&lt;&gt;"",L485&lt;&gt;0),J485/L485,"")</x:f>
        <x:v>1.3333333333333333</x:v>
      </x:c>
      <x:c r="O485" s="45" t="n">
        <x:f>IF(AND(K485&lt;&gt;"",L485&lt;&gt;0),K485/L485,"")</x:f>
        <x:v>1.3333333333333333</x:v>
      </x:c>
      <x:c r="P485" s="46" t="n">
        <x:f>IF(AND(K485&lt;&gt;"",K485&lt;&gt;0,L485&lt;&gt;""),L485/K485,"")</x:f>
        <x:v>0.75</x:v>
      </x:c>
      <x:c r="Q485" s="46" t="n">
        <x:f>IF(AND(L485&lt;&gt;"",L485&lt;&gt;0,M485&lt;&gt;""),M485/L485,"")</x:f>
        <x:v>1</x:v>
      </x:c>
      <x:c r="R485" s="45" t="n">
        <x:f>IF(N485&lt;&gt;"",N485,IF(O485&lt;&gt;"",O485,""))</x:f>
        <x:v>1.3333333333333333</x:v>
      </x:c>
      <x:c r="S485" s="2" t="str">
        <x:f>IF(N485&lt;&gt;"","志愿/合格",IF(O485&lt;&gt;"","受验/合格",""))</x:f>
        <x:v>志愿/合格</x:v>
      </x:c>
      <x:c r="T485" s="2" t="str">
        <x:v>官方</x:v>
      </x:c>
      <x:c r="U485" s="2" t="str">
        <x:v>高</x:v>
      </x:c>
      <x:c r="V485" s="27" t="str">
        <x:v>公立はこだて未来大学 過去の大学院入試データ</x:v>
      </x:c>
      <x:c r="W485" s="27" t="str">
        <x:v>2022年度4月入学／2022年2月実施</x:v>
      </x:c>
      <x:c r="X485" s="27" t="str">
        <x:v>https://www.fun.ac.jp/admission/admission-graduate-school/result-gsexam-graduate/</x:v>
      </x:c>
      <x:c r="Y485" s="27" t="str">
        <x:v>研究科合计；项目中的“基础数学”是考试科目，不是招生专攻</x:v>
      </x:c>
      <x:c r="Z485" s="47" t="str">
        <x:v>募集人数为若干名</x:v>
      </x:c>
    </x:row>
    <x:row r="486" ht="38" customHeight="1">
      <x:c r="A486" s="2" t="str">
        <x:v>公立はこだて未来大学</x:v>
      </x:c>
      <x:c r="B486" s="2" t="str">
        <x:v>システム情報科学研究科</x:v>
      </x:c>
      <x:c r="C486" s="2" t="str">
        <x:v>（研究科合计）</x:v>
      </x:c>
      <x:c r="D486" s="44" t="n">
        <x:v>2023</x:v>
      </x:c>
      <x:c r="E486" s="27" t="str">
        <x:v>夏季（8月）</x:v>
      </x:c>
      <x:c r="F486" s="27" t="str">
        <x:v>博士前期課程</x:v>
      </x:c>
      <x:c r="G486" s="27" t="str">
        <x:v>一般+特別 合计</x:v>
      </x:c>
      <x:c r="H486" s="27" t="str">
        <x:v>研究科合计</x:v>
      </x:c>
      <x:c r="I486" s="44" t="n">
        <x:v>50</x:v>
      </x:c>
      <x:c r="J486" s="44" t="n">
        <x:v>73</x:v>
      </x:c>
      <x:c r="K486" s="44" t="n">
        <x:v>70</x:v>
      </x:c>
      <x:c r="L486" s="44" t="n">
        <x:v>61</x:v>
      </x:c>
      <x:c r="M486" s="44" t="n">
        <x:v>59</x:v>
      </x:c>
      <x:c r="N486" s="45" t="n">
        <x:f>IF(AND(J486&lt;&gt;"",L486&lt;&gt;0),J486/L486,"")</x:f>
        <x:v>1.1967213114754098</x:v>
      </x:c>
      <x:c r="O486" s="45" t="n">
        <x:f>IF(AND(K486&lt;&gt;"",L486&lt;&gt;0),K486/L486,"")</x:f>
        <x:v>1.1475409836065573</x:v>
      </x:c>
      <x:c r="P486" s="46" t="n">
        <x:f>IF(AND(K486&lt;&gt;"",K486&lt;&gt;0,L486&lt;&gt;""),L486/K486,"")</x:f>
        <x:v>0.8714285714285714</x:v>
      </x:c>
      <x:c r="Q486" s="46" t="n">
        <x:f>IF(AND(L486&lt;&gt;"",L486&lt;&gt;0,M486&lt;&gt;""),M486/L486,"")</x:f>
        <x:v>0.9672131147540983</x:v>
      </x:c>
      <x:c r="R486" s="45" t="n">
        <x:f>IF(N486&lt;&gt;"",N486,IF(O486&lt;&gt;"",O486,""))</x:f>
        <x:v>1.1967213114754098</x:v>
      </x:c>
      <x:c r="S486" s="2" t="str">
        <x:f>IF(N486&lt;&gt;"","志愿/合格",IF(O486&lt;&gt;"","受验/合格",""))</x:f>
        <x:v>志愿/合格</x:v>
      </x:c>
      <x:c r="T486" s="2" t="str">
        <x:v>官方</x:v>
      </x:c>
      <x:c r="U486" s="2" t="str">
        <x:v>高</x:v>
      </x:c>
      <x:c r="V486" s="27" t="str">
        <x:v>公立はこだて未来大学 過去の大学院入試データ</x:v>
      </x:c>
      <x:c r="W486" s="27" t="str">
        <x:v>2023年度4月入学／2022年8月実施</x:v>
      </x:c>
      <x:c r="X486" s="27" t="str">
        <x:v>https://www.fun.ac.jp/admission/admission-graduate-school/result-gsexam-graduate/</x:v>
      </x:c>
      <x:c r="Y486" s="27" t="str">
        <x:v>研究科合计；项目中的“基础数学”是考试科目，不是招生专攻</x:v>
      </x:c>
      <x:c r="Z486" s="47" t="str"/>
    </x:row>
    <x:row r="487" ht="38" customHeight="1">
      <x:c r="A487" s="2" t="str">
        <x:v>公立はこだて未来大学</x:v>
      </x:c>
      <x:c r="B487" s="2" t="str">
        <x:v>システム情報科学研究科</x:v>
      </x:c>
      <x:c r="C487" s="2" t="str">
        <x:v>（研究科合计）</x:v>
      </x:c>
      <x:c r="D487" s="44" t="n">
        <x:v>2023</x:v>
      </x:c>
      <x:c r="E487" s="27" t="str">
        <x:v>冬季（2月）</x:v>
      </x:c>
      <x:c r="F487" s="27" t="str">
        <x:v>博士前期課程</x:v>
      </x:c>
      <x:c r="G487" s="27" t="str">
        <x:v>一般+特別 合计</x:v>
      </x:c>
      <x:c r="H487" s="27" t="str">
        <x:v>研究科合计</x:v>
      </x:c>
      <x:c r="I487" s="44"/>
      <x:c r="J487" s="44" t="n">
        <x:v>10</x:v>
      </x:c>
      <x:c r="K487" s="44" t="n">
        <x:v>10</x:v>
      </x:c>
      <x:c r="L487" s="44" t="n">
        <x:v>7</x:v>
      </x:c>
      <x:c r="M487" s="44" t="n">
        <x:v>7</x:v>
      </x:c>
      <x:c r="N487" s="45" t="n">
        <x:f>IF(AND(J487&lt;&gt;"",L487&lt;&gt;0),J487/L487,"")</x:f>
        <x:v>1.4285714285714286</x:v>
      </x:c>
      <x:c r="O487" s="45" t="n">
        <x:f>IF(AND(K487&lt;&gt;"",L487&lt;&gt;0),K487/L487,"")</x:f>
        <x:v>1.4285714285714286</x:v>
      </x:c>
      <x:c r="P487" s="46" t="n">
        <x:f>IF(AND(K487&lt;&gt;"",K487&lt;&gt;0,L487&lt;&gt;""),L487/K487,"")</x:f>
        <x:v>0.7</x:v>
      </x:c>
      <x:c r="Q487" s="46" t="n">
        <x:f>IF(AND(L487&lt;&gt;"",L487&lt;&gt;0,M487&lt;&gt;""),M487/L487,"")</x:f>
        <x:v>1</x:v>
      </x:c>
      <x:c r="R487" s="45" t="n">
        <x:f>IF(N487&lt;&gt;"",N487,IF(O487&lt;&gt;"",O487,""))</x:f>
        <x:v>1.4285714285714286</x:v>
      </x:c>
      <x:c r="S487" s="2" t="str">
        <x:f>IF(N487&lt;&gt;"","志愿/合格",IF(O487&lt;&gt;"","受验/合格",""))</x:f>
        <x:v>志愿/合格</x:v>
      </x:c>
      <x:c r="T487" s="2" t="str">
        <x:v>官方</x:v>
      </x:c>
      <x:c r="U487" s="2" t="str">
        <x:v>高</x:v>
      </x:c>
      <x:c r="V487" s="27" t="str">
        <x:v>公立はこだて未来大学 過去の大学院入試データ</x:v>
      </x:c>
      <x:c r="W487" s="27" t="str">
        <x:v>2023年度4月入学／2023年2月実施</x:v>
      </x:c>
      <x:c r="X487" s="27" t="str">
        <x:v>https://www.fun.ac.jp/admission/admission-graduate-school/result-gsexam-graduate/</x:v>
      </x:c>
      <x:c r="Y487" s="27" t="str">
        <x:v>研究科合计；项目中的“基础数学”是考试科目，不是招生专攻</x:v>
      </x:c>
      <x:c r="Z487" s="47" t="str">
        <x:v>募集人数为若干名</x:v>
      </x:c>
    </x:row>
    <x:row r="488" ht="38" customHeight="1">
      <x:c r="A488" s="2" t="str">
        <x:v>公立はこだて未来大学</x:v>
      </x:c>
      <x:c r="B488" s="2" t="str">
        <x:v>システム情報科学研究科</x:v>
      </x:c>
      <x:c r="C488" s="2" t="str">
        <x:v>（研究科合计）</x:v>
      </x:c>
      <x:c r="D488" s="44" t="n">
        <x:v>2024</x:v>
      </x:c>
      <x:c r="E488" s="27" t="str">
        <x:v>夏季（8月）</x:v>
      </x:c>
      <x:c r="F488" s="27" t="str">
        <x:v>博士前期課程</x:v>
      </x:c>
      <x:c r="G488" s="27" t="str">
        <x:v>一般+特別 合计</x:v>
      </x:c>
      <x:c r="H488" s="27" t="str">
        <x:v>研究科合计</x:v>
      </x:c>
      <x:c r="I488" s="44" t="n">
        <x:v>50</x:v>
      </x:c>
      <x:c r="J488" s="44" t="n">
        <x:v>66</x:v>
      </x:c>
      <x:c r="K488" s="44" t="n">
        <x:v>66</x:v>
      </x:c>
      <x:c r="L488" s="44" t="n">
        <x:v>51</x:v>
      </x:c>
      <x:c r="M488" s="44" t="n">
        <x:v>50</x:v>
      </x:c>
      <x:c r="N488" s="45" t="n">
        <x:f>IF(AND(J488&lt;&gt;"",L488&lt;&gt;0),J488/L488,"")</x:f>
        <x:v>1.2941176470588236</x:v>
      </x:c>
      <x:c r="O488" s="45" t="n">
        <x:f>IF(AND(K488&lt;&gt;"",L488&lt;&gt;0),K488/L488,"")</x:f>
        <x:v>1.2941176470588236</x:v>
      </x:c>
      <x:c r="P488" s="46" t="n">
        <x:f>IF(AND(K488&lt;&gt;"",K488&lt;&gt;0,L488&lt;&gt;""),L488/K488,"")</x:f>
        <x:v>0.7727272727272727</x:v>
      </x:c>
      <x:c r="Q488" s="46" t="n">
        <x:f>IF(AND(L488&lt;&gt;"",L488&lt;&gt;0,M488&lt;&gt;""),M488/L488,"")</x:f>
        <x:v>0.9803921568627451</x:v>
      </x:c>
      <x:c r="R488" s="45" t="n">
        <x:f>IF(N488&lt;&gt;"",N488,IF(O488&lt;&gt;"",O488,""))</x:f>
        <x:v>1.2941176470588236</x:v>
      </x:c>
      <x:c r="S488" s="2" t="str">
        <x:f>IF(N488&lt;&gt;"","志愿/合格",IF(O488&lt;&gt;"","受验/合格",""))</x:f>
        <x:v>志愿/合格</x:v>
      </x:c>
      <x:c r="T488" s="2" t="str">
        <x:v>官方</x:v>
      </x:c>
      <x:c r="U488" s="2" t="str">
        <x:v>高</x:v>
      </x:c>
      <x:c r="V488" s="27" t="str">
        <x:v>公立はこだて未来大学 過去の大学院入試データ</x:v>
      </x:c>
      <x:c r="W488" s="27" t="str">
        <x:v>2024年度4月入学／2023年8月实施</x:v>
      </x:c>
      <x:c r="X488" s="27" t="str">
        <x:v>https://www.fun.ac.jp/admission/admission-graduate-school/result-gsexam-graduate/</x:v>
      </x:c>
      <x:c r="Y488" s="27" t="str">
        <x:v>研究科合计；项目中的“基础数学”是考试科目，不是招生专攻</x:v>
      </x:c>
      <x:c r="Z488" s="47" t="str"/>
    </x:row>
    <x:row r="489" ht="38" customHeight="1">
      <x:c r="A489" s="2" t="str">
        <x:v>公立はこだて未来大学</x:v>
      </x:c>
      <x:c r="B489" s="2" t="str">
        <x:v>システム情報科学研究科</x:v>
      </x:c>
      <x:c r="C489" s="2" t="str">
        <x:v>（研究科合计）</x:v>
      </x:c>
      <x:c r="D489" s="44" t="n">
        <x:v>2024</x:v>
      </x:c>
      <x:c r="E489" s="27" t="str">
        <x:v>冬季（2月）</x:v>
      </x:c>
      <x:c r="F489" s="27" t="str">
        <x:v>博士前期課程</x:v>
      </x:c>
      <x:c r="G489" s="27" t="str">
        <x:v>一般+特別 合计</x:v>
      </x:c>
      <x:c r="H489" s="27" t="str">
        <x:v>研究科合计</x:v>
      </x:c>
      <x:c r="I489" s="44"/>
      <x:c r="J489" s="44" t="n">
        <x:v>6</x:v>
      </x:c>
      <x:c r="K489" s="44" t="n">
        <x:v>6</x:v>
      </x:c>
      <x:c r="L489" s="44" t="n">
        <x:v>5</x:v>
      </x:c>
      <x:c r="M489" s="44" t="n">
        <x:v>5</x:v>
      </x:c>
      <x:c r="N489" s="45" t="n">
        <x:f>IF(AND(J489&lt;&gt;"",L489&lt;&gt;0),J489/L489,"")</x:f>
        <x:v>1.2</x:v>
      </x:c>
      <x:c r="O489" s="45" t="n">
        <x:f>IF(AND(K489&lt;&gt;"",L489&lt;&gt;0),K489/L489,"")</x:f>
        <x:v>1.2</x:v>
      </x:c>
      <x:c r="P489" s="46" t="n">
        <x:f>IF(AND(K489&lt;&gt;"",K489&lt;&gt;0,L489&lt;&gt;""),L489/K489,"")</x:f>
        <x:v>0.8333333333333334</x:v>
      </x:c>
      <x:c r="Q489" s="46" t="n">
        <x:f>IF(AND(L489&lt;&gt;"",L489&lt;&gt;0,M489&lt;&gt;""),M489/L489,"")</x:f>
        <x:v>1</x:v>
      </x:c>
      <x:c r="R489" s="45" t="n">
        <x:f>IF(N489&lt;&gt;"",N489,IF(O489&lt;&gt;"",O489,""))</x:f>
        <x:v>1.2</x:v>
      </x:c>
      <x:c r="S489" s="2" t="str">
        <x:f>IF(N489&lt;&gt;"","志愿/合格",IF(O489&lt;&gt;"","受验/合格",""))</x:f>
        <x:v>志愿/合格</x:v>
      </x:c>
      <x:c r="T489" s="2" t="str">
        <x:v>官方</x:v>
      </x:c>
      <x:c r="U489" s="2" t="str">
        <x:v>高</x:v>
      </x:c>
      <x:c r="V489" s="27" t="str">
        <x:v>公立はこだて未来大学 過去の大学院入試データ</x:v>
      </x:c>
      <x:c r="W489" s="27" t="str">
        <x:v>2024年度4月入学／2024年2月实施</x:v>
      </x:c>
      <x:c r="X489" s="27" t="str">
        <x:v>https://www.fun.ac.jp/admission/admission-graduate-school/result-gsexam-graduate/</x:v>
      </x:c>
      <x:c r="Y489" s="27" t="str">
        <x:v>研究科合计；项目中的“基础数学”是考试科目，不是招生专攻</x:v>
      </x:c>
      <x:c r="Z489" s="47" t="str">
        <x:v>募集人数为若干名</x:v>
      </x:c>
    </x:row>
    <x:row r="490" ht="38" customHeight="1">
      <x:c r="A490" s="2" t="str">
        <x:v>公立はこだて未来大学</x:v>
      </x:c>
      <x:c r="B490" s="2" t="str">
        <x:v>システム情報科学研究科</x:v>
      </x:c>
      <x:c r="C490" s="2" t="str">
        <x:v>（研究科合计）</x:v>
      </x:c>
      <x:c r="D490" s="44" t="n">
        <x:v>2025</x:v>
      </x:c>
      <x:c r="E490" s="27" t="str">
        <x:v>夏季（8月）</x:v>
      </x:c>
      <x:c r="F490" s="27" t="str">
        <x:v>博士前期課程</x:v>
      </x:c>
      <x:c r="G490" s="27" t="str">
        <x:v>一般+特別 合计</x:v>
      </x:c>
      <x:c r="H490" s="27" t="str">
        <x:v>研究科合计</x:v>
      </x:c>
      <x:c r="I490" s="44" t="n">
        <x:v>50</x:v>
      </x:c>
      <x:c r="J490" s="44" t="n">
        <x:v>83</x:v>
      </x:c>
      <x:c r="K490" s="44" t="n">
        <x:v>80</x:v>
      </x:c>
      <x:c r="L490" s="44" t="n">
        <x:v>77</x:v>
      </x:c>
      <x:c r="M490" s="44" t="n">
        <x:v>75</x:v>
      </x:c>
      <x:c r="N490" s="45" t="n">
        <x:f>IF(AND(J490&lt;&gt;"",L490&lt;&gt;0),J490/L490,"")</x:f>
        <x:v>1.077922077922078</x:v>
      </x:c>
      <x:c r="O490" s="45" t="n">
        <x:f>IF(AND(K490&lt;&gt;"",L490&lt;&gt;0),K490/L490,"")</x:f>
        <x:v>1.0389610389610389</x:v>
      </x:c>
      <x:c r="P490" s="46" t="n">
        <x:f>IF(AND(K490&lt;&gt;"",K490&lt;&gt;0,L490&lt;&gt;""),L490/K490,"")</x:f>
        <x:v>0.9625</x:v>
      </x:c>
      <x:c r="Q490" s="46" t="n">
        <x:f>IF(AND(L490&lt;&gt;"",L490&lt;&gt;0,M490&lt;&gt;""),M490/L490,"")</x:f>
        <x:v>0.974025974025974</x:v>
      </x:c>
      <x:c r="R490" s="45" t="n">
        <x:f>IF(N490&lt;&gt;"",N490,IF(O490&lt;&gt;"",O490,""))</x:f>
        <x:v>1.077922077922078</x:v>
      </x:c>
      <x:c r="S490" s="2" t="str">
        <x:f>IF(N490&lt;&gt;"","志愿/合格",IF(O490&lt;&gt;"","受验/合格",""))</x:f>
        <x:v>志愿/合格</x:v>
      </x:c>
      <x:c r="T490" s="2" t="str">
        <x:v>官方</x:v>
      </x:c>
      <x:c r="U490" s="2" t="str">
        <x:v>高</x:v>
      </x:c>
      <x:c r="V490" s="27" t="str">
        <x:v>公立はこだて未来大学 過去の大学院入試データ</x:v>
      </x:c>
      <x:c r="W490" s="27" t="str">
        <x:v>2025年度4月入学／2024年8月实施</x:v>
      </x:c>
      <x:c r="X490" s="27" t="str">
        <x:v>https://www.fun.ac.jp/admission/admission-graduate-school/result-gsexam-graduate/</x:v>
      </x:c>
      <x:c r="Y490" s="27" t="str">
        <x:v>研究科合计；项目中的“基础数学”是考试科目，不是招生专攻</x:v>
      </x:c>
      <x:c r="Z490" s="47" t="str"/>
    </x:row>
    <x:row r="491" ht="38" customHeight="1">
      <x:c r="A491" s="2" t="str">
        <x:v>公立はこだて未来大学</x:v>
      </x:c>
      <x:c r="B491" s="2" t="str">
        <x:v>システム情報科学研究科</x:v>
      </x:c>
      <x:c r="C491" s="2" t="str">
        <x:v>（研究科合计）</x:v>
      </x:c>
      <x:c r="D491" s="44" t="n">
        <x:v>2025</x:v>
      </x:c>
      <x:c r="E491" s="27" t="str">
        <x:v>冬季（2月）</x:v>
      </x:c>
      <x:c r="F491" s="27" t="str">
        <x:v>博士前期課程</x:v>
      </x:c>
      <x:c r="G491" s="27" t="str">
        <x:v>一般+特別 合计</x:v>
      </x:c>
      <x:c r="H491" s="27" t="str">
        <x:v>研究科合计</x:v>
      </x:c>
      <x:c r="I491" s="44"/>
      <x:c r="J491" s="44" t="n">
        <x:v>7</x:v>
      </x:c>
      <x:c r="K491" s="44" t="n">
        <x:v>7</x:v>
      </x:c>
      <x:c r="L491" s="44" t="n">
        <x:v>7</x:v>
      </x:c>
      <x:c r="M491" s="44" t="n">
        <x:v>7</x:v>
      </x:c>
      <x:c r="N491" s="45" t="n">
        <x:f>IF(AND(J491&lt;&gt;"",L491&lt;&gt;0),J491/L491,"")</x:f>
        <x:v>1</x:v>
      </x:c>
      <x:c r="O491" s="45" t="n">
        <x:f>IF(AND(K491&lt;&gt;"",L491&lt;&gt;0),K491/L491,"")</x:f>
        <x:v>1</x:v>
      </x:c>
      <x:c r="P491" s="46" t="n">
        <x:f>IF(AND(K491&lt;&gt;"",K491&lt;&gt;0,L491&lt;&gt;""),L491/K491,"")</x:f>
        <x:v>1</x:v>
      </x:c>
      <x:c r="Q491" s="46" t="n">
        <x:f>IF(AND(L491&lt;&gt;"",L491&lt;&gt;0,M491&lt;&gt;""),M491/L491,"")</x:f>
        <x:v>1</x:v>
      </x:c>
      <x:c r="R491" s="45" t="n">
        <x:f>IF(N491&lt;&gt;"",N491,IF(O491&lt;&gt;"",O491,""))</x:f>
        <x:v>1</x:v>
      </x:c>
      <x:c r="S491" s="2" t="str">
        <x:f>IF(N491&lt;&gt;"","志愿/合格",IF(O491&lt;&gt;"","受验/合格",""))</x:f>
        <x:v>志愿/合格</x:v>
      </x:c>
      <x:c r="T491" s="2" t="str">
        <x:v>官方</x:v>
      </x:c>
      <x:c r="U491" s="2" t="str">
        <x:v>高</x:v>
      </x:c>
      <x:c r="V491" s="27" t="str">
        <x:v>公立はこだて未来大学 過去の大学院入試データ</x:v>
      </x:c>
      <x:c r="W491" s="27" t="str">
        <x:v>2025年度4月入学／2025年2月实施</x:v>
      </x:c>
      <x:c r="X491" s="27" t="str">
        <x:v>https://www.fun.ac.jp/admission/admission-graduate-school/result-gsexam-graduate/</x:v>
      </x:c>
      <x:c r="Y491" s="27" t="str">
        <x:v>研究科合计；项目中的“基础数学”是考试科目，不是招生专攻</x:v>
      </x:c>
      <x:c r="Z491" s="47" t="str">
        <x:v>募集人数为若干名</x:v>
      </x:c>
    </x:row>
    <x:row r="492" ht="38" customHeight="1">
      <x:c r="A492" s="2" t="str">
        <x:v>公立はこだて未来大学</x:v>
      </x:c>
      <x:c r="B492" s="2" t="str">
        <x:v>システム情報科学研究科</x:v>
      </x:c>
      <x:c r="C492" s="2" t="str">
        <x:v>（研究科合计）</x:v>
      </x:c>
      <x:c r="D492" s="44" t="n">
        <x:v>2026</x:v>
      </x:c>
      <x:c r="E492" s="27" t="str">
        <x:v>夏季（8月）</x:v>
      </x:c>
      <x:c r="F492" s="27" t="str">
        <x:v>博士前期課程</x:v>
      </x:c>
      <x:c r="G492" s="27" t="str">
        <x:v>一般+特別 合计</x:v>
      </x:c>
      <x:c r="H492" s="27" t="str">
        <x:v>研究科合计</x:v>
      </x:c>
      <x:c r="I492" s="44" t="n">
        <x:v>50</x:v>
      </x:c>
      <x:c r="J492" s="44" t="n">
        <x:v>73</x:v>
      </x:c>
      <x:c r="K492" s="44" t="n">
        <x:v>73</x:v>
      </x:c>
      <x:c r="L492" s="44" t="n">
        <x:v>67</x:v>
      </x:c>
      <x:c r="M492" s="44" t="n">
        <x:v>66</x:v>
      </x:c>
      <x:c r="N492" s="45" t="n">
        <x:f>IF(AND(J492&lt;&gt;"",L492&lt;&gt;0),J492/L492,"")</x:f>
        <x:v>1.0895522388059702</x:v>
      </x:c>
      <x:c r="O492" s="45" t="n">
        <x:f>IF(AND(K492&lt;&gt;"",L492&lt;&gt;0),K492/L492,"")</x:f>
        <x:v>1.0895522388059702</x:v>
      </x:c>
      <x:c r="P492" s="46" t="n">
        <x:f>IF(AND(K492&lt;&gt;"",K492&lt;&gt;0,L492&lt;&gt;""),L492/K492,"")</x:f>
        <x:v>0.9178082191780822</x:v>
      </x:c>
      <x:c r="Q492" s="46" t="n">
        <x:f>IF(AND(L492&lt;&gt;"",L492&lt;&gt;0,M492&lt;&gt;""),M492/L492,"")</x:f>
        <x:v>0.9850746268656716</x:v>
      </x:c>
      <x:c r="R492" s="45" t="n">
        <x:f>IF(N492&lt;&gt;"",N492,IF(O492&lt;&gt;"",O492,""))</x:f>
        <x:v>1.0895522388059702</x:v>
      </x:c>
      <x:c r="S492" s="2" t="str">
        <x:f>IF(N492&lt;&gt;"","志愿/合格",IF(O492&lt;&gt;"","受验/合格",""))</x:f>
        <x:v>志愿/合格</x:v>
      </x:c>
      <x:c r="T492" s="2" t="str">
        <x:v>官方</x:v>
      </x:c>
      <x:c r="U492" s="2" t="str">
        <x:v>高</x:v>
      </x:c>
      <x:c r="V492" s="27" t="str">
        <x:v>公立はこだて未来大学 過去の大学院入試データ</x:v>
      </x:c>
      <x:c r="W492" s="27" t="str">
        <x:v>2026年度4月入学／2025年8月实施</x:v>
      </x:c>
      <x:c r="X492" s="27" t="str">
        <x:v>https://www.fun.ac.jp/admission/admission-graduate-school/result-gsexam-graduate/</x:v>
      </x:c>
      <x:c r="Y492" s="27" t="str">
        <x:v>研究科合计；项目中的“基础数学”是考试科目，不是招生专攻</x:v>
      </x:c>
      <x:c r="Z492" s="47" t="str"/>
    </x:row>
    <x:row r="493" ht="38" customHeight="1">
      <x:c r="A493" s="2" t="str">
        <x:v>公立はこだて未来大学</x:v>
      </x:c>
      <x:c r="B493" s="2" t="str">
        <x:v>システム情報科学研究科</x:v>
      </x:c>
      <x:c r="C493" s="2" t="str">
        <x:v>（研究科合计）</x:v>
      </x:c>
      <x:c r="D493" s="44" t="n">
        <x:v>2026</x:v>
      </x:c>
      <x:c r="E493" s="27" t="str">
        <x:v>冬季（2月）</x:v>
      </x:c>
      <x:c r="F493" s="27" t="str">
        <x:v>博士前期課程</x:v>
      </x:c>
      <x:c r="G493" s="27" t="str">
        <x:v>一般+特別 合计</x:v>
      </x:c>
      <x:c r="H493" s="27" t="str">
        <x:v>研究科合计</x:v>
      </x:c>
      <x:c r="I493" s="44"/>
      <x:c r="J493" s="44" t="n">
        <x:v>12</x:v>
      </x:c>
      <x:c r="K493" s="44" t="n">
        <x:v>12</x:v>
      </x:c>
      <x:c r="L493" s="44" t="n">
        <x:v>7</x:v>
      </x:c>
      <x:c r="M493" s="44" t="n">
        <x:v>7</x:v>
      </x:c>
      <x:c r="N493" s="45" t="n">
        <x:f>IF(AND(J493&lt;&gt;"",L493&lt;&gt;0),J493/L493,"")</x:f>
        <x:v>1.7142857142857142</x:v>
      </x:c>
      <x:c r="O493" s="45" t="n">
        <x:f>IF(AND(K493&lt;&gt;"",L493&lt;&gt;0),K493/L493,"")</x:f>
        <x:v>1.7142857142857142</x:v>
      </x:c>
      <x:c r="P493" s="46" t="n">
        <x:f>IF(AND(K493&lt;&gt;"",K493&lt;&gt;0,L493&lt;&gt;""),L493/K493,"")</x:f>
        <x:v>0.5833333333333334</x:v>
      </x:c>
      <x:c r="Q493" s="46" t="n">
        <x:f>IF(AND(L493&lt;&gt;"",L493&lt;&gt;0,M493&lt;&gt;""),M493/L493,"")</x:f>
        <x:v>1</x:v>
      </x:c>
      <x:c r="R493" s="45" t="n">
        <x:f>IF(N493&lt;&gt;"",N493,IF(O493&lt;&gt;"",O493,""))</x:f>
        <x:v>1.7142857142857142</x:v>
      </x:c>
      <x:c r="S493" s="2" t="str">
        <x:f>IF(N493&lt;&gt;"","志愿/合格",IF(O493&lt;&gt;"","受验/合格",""))</x:f>
        <x:v>志愿/合格</x:v>
      </x:c>
      <x:c r="T493" s="2" t="str">
        <x:v>官方</x:v>
      </x:c>
      <x:c r="U493" s="2" t="str">
        <x:v>高</x:v>
      </x:c>
      <x:c r="V493" s="27" t="str">
        <x:v>公立はこだて未来大学 過去の大学院入試データ</x:v>
      </x:c>
      <x:c r="W493" s="27" t="str">
        <x:v>2026年度4月入学／2026年2月实施</x:v>
      </x:c>
      <x:c r="X493" s="27" t="str">
        <x:v>https://www.fun.ac.jp/admission/admission-graduate-school/result-gsexam-graduate/</x:v>
      </x:c>
      <x:c r="Y493" s="27" t="str">
        <x:v>研究科合计；项目中的“基础数学”是考试科目，不是招生专攻</x:v>
      </x:c>
      <x:c r="Z493" s="47" t="str">
        <x:v>募集人数为若干名</x:v>
      </x:c>
    </x:row>
    <x:row r="494" ht="38" customHeight="1">
      <x:c r="A494" s="2" t="str">
        <x:v>大阪公立大学</x:v>
      </x:c>
      <x:c r="B494" s="2" t="str">
        <x:v>理学研究科</x:v>
      </x:c>
      <x:c r="C494" s="2" t="str">
        <x:v>数学専攻</x:v>
      </x:c>
      <x:c r="D494" s="44" t="n">
        <x:v>2023</x:v>
      </x:c>
      <x:c r="E494" s="27" t="str">
        <x:v>全年合计（第1次+第2次）</x:v>
      </x:c>
      <x:c r="F494" s="27" t="str">
        <x:v>博士前期課程</x:v>
      </x:c>
      <x:c r="G494" s="27" t="str">
        <x:v>全部</x:v>
      </x:c>
      <x:c r="H494" s="27" t="str">
        <x:v>专攻/系</x:v>
      </x:c>
      <x:c r="I494" s="44" t="n">
        <x:v>21</x:v>
      </x:c>
      <x:c r="J494" s="44" t="n">
        <x:v>29</x:v>
      </x:c>
      <x:c r="K494" s="44" t="n">
        <x:v>23</x:v>
      </x:c>
      <x:c r="L494" s="44" t="n">
        <x:v>22</x:v>
      </x:c>
      <x:c r="M494" s="44" t="n">
        <x:v>21</x:v>
      </x:c>
      <x:c r="N494" s="45" t="n">
        <x:f>IF(AND(J494&lt;&gt;"",L494&lt;&gt;0),J494/L494,"")</x:f>
        <x:v>1.3181818181818181</x:v>
      </x:c>
      <x:c r="O494" s="45" t="n">
        <x:f>IF(AND(K494&lt;&gt;"",L494&lt;&gt;0),K494/L494,"")</x:f>
        <x:v>1.0454545454545454</x:v>
      </x:c>
      <x:c r="P494" s="46" t="n">
        <x:f>IF(AND(K494&lt;&gt;"",K494&lt;&gt;0,L494&lt;&gt;""),L494/K494,"")</x:f>
        <x:v>0.9565217391304348</x:v>
      </x:c>
      <x:c r="Q494" s="46" t="n">
        <x:f>IF(AND(L494&lt;&gt;"",L494&lt;&gt;0,M494&lt;&gt;""),M494/L494,"")</x:f>
        <x:v>0.9545454545454546</x:v>
      </x:c>
      <x:c r="R494" s="45" t="n">
        <x:f>IF(N494&lt;&gt;"",N494,IF(O494&lt;&gt;"",O494,""))</x:f>
        <x:v>1.3181818181818181</x:v>
      </x:c>
      <x:c r="S494" s="2" t="str">
        <x:f>IF(N494&lt;&gt;"","志愿/合格",IF(O494&lt;&gt;"","受验/合格",""))</x:f>
        <x:v>志愿/合格</x:v>
      </x:c>
      <x:c r="T494" s="2" t="str">
        <x:v>官方</x:v>
      </x:c>
      <x:c r="U494" s="2" t="str">
        <x:v>高</x:v>
      </x:c>
      <x:c r="V494" s="27" t="str">
        <x:v>大阪公立大学 2023年度 博士前期課程入試状況</x:v>
      </x:c>
      <x:c r="W494" s="27" t="str">
        <x:v>理学研究科／数学専攻</x:v>
      </x:c>
      <x:c r="X494" s="27" t="str">
        <x:v>https://www.omu.ac.jp/admissions/assets/2023M.pdf</x:v>
      </x:c>
      <x:c r="Y494" s="27" t="str">
        <x:v>专攻精确；第1次与第2次合计</x:v>
      </x:c>
      <x:c r="Z494" s="47" t="str"/>
    </x:row>
    <x:row r="495" ht="38" customHeight="1">
      <x:c r="A495" s="2" t="str">
        <x:v>大阪公立大学</x:v>
      </x:c>
      <x:c r="B495" s="2" t="str">
        <x:v>理学研究科</x:v>
      </x:c>
      <x:c r="C495" s="2" t="str">
        <x:v>数学専攻</x:v>
      </x:c>
      <x:c r="D495" s="44" t="n">
        <x:v>2024</x:v>
      </x:c>
      <x:c r="E495" s="27" t="str">
        <x:v>全年合计（第1次+第2次）</x:v>
      </x:c>
      <x:c r="F495" s="27" t="str">
        <x:v>博士前期課程</x:v>
      </x:c>
      <x:c r="G495" s="27" t="str">
        <x:v>全部</x:v>
      </x:c>
      <x:c r="H495" s="27" t="str">
        <x:v>专攻/系</x:v>
      </x:c>
      <x:c r="I495" s="44" t="n">
        <x:v>21</x:v>
      </x:c>
      <x:c r="J495" s="44" t="n">
        <x:v>37</x:v>
      </x:c>
      <x:c r="K495" s="44" t="n">
        <x:v>36</x:v>
      </x:c>
      <x:c r="L495" s="44" t="n">
        <x:v>27</x:v>
      </x:c>
      <x:c r="M495" s="44" t="n">
        <x:v>25</x:v>
      </x:c>
      <x:c r="N495" s="45" t="n">
        <x:f>IF(AND(J495&lt;&gt;"",L495&lt;&gt;0),J495/L495,"")</x:f>
        <x:v>1.3703703703703705</x:v>
      </x:c>
      <x:c r="O495" s="45" t="n">
        <x:f>IF(AND(K495&lt;&gt;"",L495&lt;&gt;0),K495/L495,"")</x:f>
        <x:v>1.3333333333333333</x:v>
      </x:c>
      <x:c r="P495" s="46" t="n">
        <x:f>IF(AND(K495&lt;&gt;"",K495&lt;&gt;0,L495&lt;&gt;""),L495/K495,"")</x:f>
        <x:v>0.75</x:v>
      </x:c>
      <x:c r="Q495" s="46" t="n">
        <x:f>IF(AND(L495&lt;&gt;"",L495&lt;&gt;0,M495&lt;&gt;""),M495/L495,"")</x:f>
        <x:v>0.9259259259259259</x:v>
      </x:c>
      <x:c r="R495" s="45" t="n">
        <x:f>IF(N495&lt;&gt;"",N495,IF(O495&lt;&gt;"",O495,""))</x:f>
        <x:v>1.3703703703703705</x:v>
      </x:c>
      <x:c r="S495" s="2" t="str">
        <x:f>IF(N495&lt;&gt;"","志愿/合格",IF(O495&lt;&gt;"","受验/合格",""))</x:f>
        <x:v>志愿/合格</x:v>
      </x:c>
      <x:c r="T495" s="2" t="str">
        <x:v>官方</x:v>
      </x:c>
      <x:c r="U495" s="2" t="str">
        <x:v>高</x:v>
      </x:c>
      <x:c r="V495" s="27" t="str">
        <x:v>大阪公立大学 2024年度 博士前期課程入試状況</x:v>
      </x:c>
      <x:c r="W495" s="27" t="str">
        <x:v>理学研究科／数学専攻</x:v>
      </x:c>
      <x:c r="X495" s="27" t="str">
        <x:v>https://www.omu.ac.jp/admissions/assets/2024M.pdf</x:v>
      </x:c>
      <x:c r="Y495" s="27" t="str">
        <x:v>专攻精确；第1次与第2次合计</x:v>
      </x:c>
      <x:c r="Z495" s="47" t="str"/>
    </x:row>
    <x:row r="496" ht="38" customHeight="1">
      <x:c r="A496" s="2" t="str">
        <x:v>大阪公立大学</x:v>
      </x:c>
      <x:c r="B496" s="2" t="str">
        <x:v>理学研究科</x:v>
      </x:c>
      <x:c r="C496" s="2" t="str">
        <x:v>数学専攻</x:v>
      </x:c>
      <x:c r="D496" s="44" t="n">
        <x:v>2025</x:v>
      </x:c>
      <x:c r="E496" s="27" t="str">
        <x:v>全年合计（第1次+第2次）</x:v>
      </x:c>
      <x:c r="F496" s="27" t="str">
        <x:v>博士前期課程</x:v>
      </x:c>
      <x:c r="G496" s="27" t="str">
        <x:v>全部</x:v>
      </x:c>
      <x:c r="H496" s="27" t="str">
        <x:v>专攻/系</x:v>
      </x:c>
      <x:c r="I496" s="44" t="n">
        <x:v>21</x:v>
      </x:c>
      <x:c r="J496" s="44" t="n">
        <x:v>35</x:v>
      </x:c>
      <x:c r="K496" s="44" t="n">
        <x:v>33</x:v>
      </x:c>
      <x:c r="L496" s="44" t="n">
        <x:v>28</x:v>
      </x:c>
      <x:c r="M496" s="44" t="n">
        <x:v>26</x:v>
      </x:c>
      <x:c r="N496" s="45" t="n">
        <x:f>IF(AND(J496&lt;&gt;"",L496&lt;&gt;0),J496/L496,"")</x:f>
        <x:v>1.25</x:v>
      </x:c>
      <x:c r="O496" s="45" t="n">
        <x:f>IF(AND(K496&lt;&gt;"",L496&lt;&gt;0),K496/L496,"")</x:f>
        <x:v>1.1785714285714286</x:v>
      </x:c>
      <x:c r="P496" s="46" t="n">
        <x:f>IF(AND(K496&lt;&gt;"",K496&lt;&gt;0,L496&lt;&gt;""),L496/K496,"")</x:f>
        <x:v>0.8484848484848485</x:v>
      </x:c>
      <x:c r="Q496" s="46" t="n">
        <x:f>IF(AND(L496&lt;&gt;"",L496&lt;&gt;0,M496&lt;&gt;""),M496/L496,"")</x:f>
        <x:v>0.9285714285714286</x:v>
      </x:c>
      <x:c r="R496" s="45" t="n">
        <x:f>IF(N496&lt;&gt;"",N496,IF(O496&lt;&gt;"",O496,""))</x:f>
        <x:v>1.25</x:v>
      </x:c>
      <x:c r="S496" s="2" t="str">
        <x:f>IF(N496&lt;&gt;"","志愿/合格",IF(O496&lt;&gt;"","受验/合格",""))</x:f>
        <x:v>志愿/合格</x:v>
      </x:c>
      <x:c r="T496" s="2" t="str">
        <x:v>官方</x:v>
      </x:c>
      <x:c r="U496" s="2" t="str">
        <x:v>高</x:v>
      </x:c>
      <x:c r="V496" s="27" t="str">
        <x:v>大阪公立大学 2025年度 博士前期課程入試状況</x:v>
      </x:c>
      <x:c r="W496" s="27" t="str">
        <x:v>理学研究科／数学専攻</x:v>
      </x:c>
      <x:c r="X496" s="27" t="str">
        <x:v>https://www.omu.ac.jp/admissions/assets/01%E3%80%80in_2025M_nyushijoukyou.pdf</x:v>
      </x:c>
      <x:c r="Y496" s="27" t="str">
        <x:v>专攻精确；第1次与第2次合计</x:v>
      </x:c>
      <x:c r="Z496" s="47" t="str"/>
    </x:row>
    <x:row r="497" ht="38" customHeight="1">
      <x:c r="A497" s="2" t="str">
        <x:v>大阪公立大学</x:v>
      </x:c>
      <x:c r="B497" s="2" t="str">
        <x:v>理学研究科</x:v>
      </x:c>
      <x:c r="C497" s="2" t="str">
        <x:v>数学専攻</x:v>
      </x:c>
      <x:c r="D497" s="44" t="n">
        <x:v>2026</x:v>
      </x:c>
      <x:c r="E497" s="27" t="str">
        <x:v>全年合计（第1次+第2次）</x:v>
      </x:c>
      <x:c r="F497" s="27" t="str">
        <x:v>博士前期課程</x:v>
      </x:c>
      <x:c r="G497" s="27" t="str">
        <x:v>全部</x:v>
      </x:c>
      <x:c r="H497" s="27" t="str">
        <x:v>专攻/系</x:v>
      </x:c>
      <x:c r="I497" s="44" t="n">
        <x:v>21</x:v>
      </x:c>
      <x:c r="J497" s="44" t="n">
        <x:v>36</x:v>
      </x:c>
      <x:c r="K497" s="44" t="n">
        <x:v>33</x:v>
      </x:c>
      <x:c r="L497" s="44" t="n">
        <x:v>27</x:v>
      </x:c>
      <x:c r="M497" s="44" t="n">
        <x:v>23</x:v>
      </x:c>
      <x:c r="N497" s="45" t="n">
        <x:f>IF(AND(J497&lt;&gt;"",L497&lt;&gt;0),J497/L497,"")</x:f>
        <x:v>1.3333333333333333</x:v>
      </x:c>
      <x:c r="O497" s="45" t="n">
        <x:f>IF(AND(K497&lt;&gt;"",L497&lt;&gt;0),K497/L497,"")</x:f>
        <x:v>1.2222222222222223</x:v>
      </x:c>
      <x:c r="P497" s="46" t="n">
        <x:f>IF(AND(K497&lt;&gt;"",K497&lt;&gt;0,L497&lt;&gt;""),L497/K497,"")</x:f>
        <x:v>0.8181818181818182</x:v>
      </x:c>
      <x:c r="Q497" s="46" t="n">
        <x:f>IF(AND(L497&lt;&gt;"",L497&lt;&gt;0,M497&lt;&gt;""),M497/L497,"")</x:f>
        <x:v>0.8518518518518519</x:v>
      </x:c>
      <x:c r="R497" s="45" t="n">
        <x:f>IF(N497&lt;&gt;"",N497,IF(O497&lt;&gt;"",O497,""))</x:f>
        <x:v>1.3333333333333333</x:v>
      </x:c>
      <x:c r="S497" s="2" t="str">
        <x:f>IF(N497&lt;&gt;"","志愿/合格",IF(O497&lt;&gt;"","受验/合格",""))</x:f>
        <x:v>志愿/合格</x:v>
      </x:c>
      <x:c r="T497" s="2" t="str">
        <x:v>官方</x:v>
      </x:c>
      <x:c r="U497" s="2" t="str">
        <x:v>高</x:v>
      </x:c>
      <x:c r="V497" s="27" t="str">
        <x:v>大阪公立大学 2026年度 博士前期課程入試状況</x:v>
      </x:c>
      <x:c r="W497" s="27" t="str">
        <x:v>理学研究科／数学専攻</x:v>
      </x:c>
      <x:c r="X497" s="27" t="str">
        <x:v>https://www.omu.ac.jp/admissions/assets/01%E3%80%80in_2026M_nyushijoukyou.pdf</x:v>
      </x:c>
      <x:c r="Y497" s="27" t="str">
        <x:v>专攻精确；第1次与第2次合计</x:v>
      </x:c>
      <x:c r="Z497" s="47" t="str"/>
    </x:row>
    <x:row r="498" ht="38" customHeight="1">
      <x:c r="A498" s="2" t="str">
        <x:v>大阪公立大学</x:v>
      </x:c>
      <x:c r="B498" s="2" t="str">
        <x:v>理学研究科</x:v>
      </x:c>
      <x:c r="C498" s="2" t="str">
        <x:v>物理学専攻</x:v>
      </x:c>
      <x:c r="D498" s="44" t="n">
        <x:v>2023</x:v>
      </x:c>
      <x:c r="E498" s="27" t="str">
        <x:v>全年合计（第1次+第2次）</x:v>
      </x:c>
      <x:c r="F498" s="27" t="str">
        <x:v>博士前期課程</x:v>
      </x:c>
      <x:c r="G498" s="27" t="str">
        <x:v>全部</x:v>
      </x:c>
      <x:c r="H498" s="27" t="str">
        <x:v>专攻/系</x:v>
      </x:c>
      <x:c r="I498" s="44" t="n">
        <x:v>55</x:v>
      </x:c>
      <x:c r="J498" s="44" t="n">
        <x:v>68</x:v>
      </x:c>
      <x:c r="K498" s="44" t="n">
        <x:v>62</x:v>
      </x:c>
      <x:c r="L498" s="44" t="n">
        <x:v>55</x:v>
      </x:c>
      <x:c r="M498" s="44" t="n">
        <x:v>52</x:v>
      </x:c>
      <x:c r="N498" s="45" t="n">
        <x:f>IF(AND(J498&lt;&gt;"",L498&lt;&gt;0),J498/L498,"")</x:f>
        <x:v>1.2363636363636363</x:v>
      </x:c>
      <x:c r="O498" s="45" t="n">
        <x:f>IF(AND(K498&lt;&gt;"",L498&lt;&gt;0),K498/L498,"")</x:f>
        <x:v>1.1272727272727272</x:v>
      </x:c>
      <x:c r="P498" s="46" t="n">
        <x:f>IF(AND(K498&lt;&gt;"",K498&lt;&gt;0,L498&lt;&gt;""),L498/K498,"")</x:f>
        <x:v>0.8870967741935484</x:v>
      </x:c>
      <x:c r="Q498" s="46" t="n">
        <x:f>IF(AND(L498&lt;&gt;"",L498&lt;&gt;0,M498&lt;&gt;""),M498/L498,"")</x:f>
        <x:v>0.9454545454545454</x:v>
      </x:c>
      <x:c r="R498" s="45" t="n">
        <x:f>IF(N498&lt;&gt;"",N498,IF(O498&lt;&gt;"",O498,""))</x:f>
        <x:v>1.2363636363636363</x:v>
      </x:c>
      <x:c r="S498" s="2" t="str">
        <x:f>IF(N498&lt;&gt;"","志愿/合格",IF(O498&lt;&gt;"","受验/合格",""))</x:f>
        <x:v>志愿/合格</x:v>
      </x:c>
      <x:c r="T498" s="2" t="str">
        <x:v>官方</x:v>
      </x:c>
      <x:c r="U498" s="2" t="str">
        <x:v>高</x:v>
      </x:c>
      <x:c r="V498" s="27" t="str">
        <x:v>大阪公立大学 2023年度 博士前期課程入試状況</x:v>
      </x:c>
      <x:c r="W498" s="27" t="str">
        <x:v>理学研究科／物理学専攻</x:v>
      </x:c>
      <x:c r="X498" s="27" t="str">
        <x:v>https://www.omu.ac.jp/admissions/assets/2023M.pdf</x:v>
      </x:c>
      <x:c r="Y498" s="27" t="str">
        <x:v>专攻精确；第1次与第2次合计</x:v>
      </x:c>
      <x:c r="Z498" s="47" t="str"/>
    </x:row>
    <x:row r="499" ht="38" customHeight="1">
      <x:c r="A499" s="2" t="str">
        <x:v>大阪公立大学</x:v>
      </x:c>
      <x:c r="B499" s="2" t="str">
        <x:v>理学研究科</x:v>
      </x:c>
      <x:c r="C499" s="2" t="str">
        <x:v>物理学専攻</x:v>
      </x:c>
      <x:c r="D499" s="44" t="n">
        <x:v>2024</x:v>
      </x:c>
      <x:c r="E499" s="27" t="str">
        <x:v>全年合计（第1次+第2次）</x:v>
      </x:c>
      <x:c r="F499" s="27" t="str">
        <x:v>博士前期課程</x:v>
      </x:c>
      <x:c r="G499" s="27" t="str">
        <x:v>全部</x:v>
      </x:c>
      <x:c r="H499" s="27" t="str">
        <x:v>专攻/系</x:v>
      </x:c>
      <x:c r="I499" s="44" t="n">
        <x:v>55</x:v>
      </x:c>
      <x:c r="J499" s="44" t="n">
        <x:v>73</x:v>
      </x:c>
      <x:c r="K499" s="44" t="n">
        <x:v>70</x:v>
      </x:c>
      <x:c r="L499" s="44" t="n">
        <x:v>59</x:v>
      </x:c>
      <x:c r="M499" s="44" t="n">
        <x:v>54</x:v>
      </x:c>
      <x:c r="N499" s="45" t="n">
        <x:f>IF(AND(J499&lt;&gt;"",L499&lt;&gt;0),J499/L499,"")</x:f>
        <x:v>1.2372881355932204</x:v>
      </x:c>
      <x:c r="O499" s="45" t="n">
        <x:f>IF(AND(K499&lt;&gt;"",L499&lt;&gt;0),K499/L499,"")</x:f>
        <x:v>1.1864406779661016</x:v>
      </x:c>
      <x:c r="P499" s="46" t="n">
        <x:f>IF(AND(K499&lt;&gt;"",K499&lt;&gt;0,L499&lt;&gt;""),L499/K499,"")</x:f>
        <x:v>0.8428571428571429</x:v>
      </x:c>
      <x:c r="Q499" s="46" t="n">
        <x:f>IF(AND(L499&lt;&gt;"",L499&lt;&gt;0,M499&lt;&gt;""),M499/L499,"")</x:f>
        <x:v>0.9152542372881356</x:v>
      </x:c>
      <x:c r="R499" s="45" t="n">
        <x:f>IF(N499&lt;&gt;"",N499,IF(O499&lt;&gt;"",O499,""))</x:f>
        <x:v>1.2372881355932204</x:v>
      </x:c>
      <x:c r="S499" s="2" t="str">
        <x:f>IF(N499&lt;&gt;"","志愿/合格",IF(O499&lt;&gt;"","受验/合格",""))</x:f>
        <x:v>志愿/合格</x:v>
      </x:c>
      <x:c r="T499" s="2" t="str">
        <x:v>官方</x:v>
      </x:c>
      <x:c r="U499" s="2" t="str">
        <x:v>高</x:v>
      </x:c>
      <x:c r="V499" s="27" t="str">
        <x:v>大阪公立大学 2024年度 博士前期課程入試状況</x:v>
      </x:c>
      <x:c r="W499" s="27" t="str">
        <x:v>理学研究科／物理学専攻</x:v>
      </x:c>
      <x:c r="X499" s="27" t="str">
        <x:v>https://www.omu.ac.jp/admissions/assets/2024M.pdf</x:v>
      </x:c>
      <x:c r="Y499" s="27" t="str">
        <x:v>专攻精确；第1次与第2次合计</x:v>
      </x:c>
      <x:c r="Z499" s="47" t="str"/>
    </x:row>
    <x:row r="500" ht="38" customHeight="1">
      <x:c r="A500" s="2" t="str">
        <x:v>大阪公立大学</x:v>
      </x:c>
      <x:c r="B500" s="2" t="str">
        <x:v>理学研究科</x:v>
      </x:c>
      <x:c r="C500" s="2" t="str">
        <x:v>物理学専攻</x:v>
      </x:c>
      <x:c r="D500" s="44" t="n">
        <x:v>2025</x:v>
      </x:c>
      <x:c r="E500" s="27" t="str">
        <x:v>全年合计（第1次+第2次）</x:v>
      </x:c>
      <x:c r="F500" s="27" t="str">
        <x:v>博士前期課程</x:v>
      </x:c>
      <x:c r="G500" s="27" t="str">
        <x:v>全部</x:v>
      </x:c>
      <x:c r="H500" s="27" t="str">
        <x:v>专攻/系</x:v>
      </x:c>
      <x:c r="I500" s="44" t="n">
        <x:v>55</x:v>
      </x:c>
      <x:c r="J500" s="44" t="n">
        <x:v>74</x:v>
      </x:c>
      <x:c r="K500" s="44" t="n">
        <x:v>71</x:v>
      </x:c>
      <x:c r="L500" s="44" t="n">
        <x:v>61</x:v>
      </x:c>
      <x:c r="M500" s="44" t="n">
        <x:v>55</x:v>
      </x:c>
      <x:c r="N500" s="45" t="n">
        <x:f>IF(AND(J500&lt;&gt;"",L500&lt;&gt;0),J500/L500,"")</x:f>
        <x:v>1.2131147540983607</x:v>
      </x:c>
      <x:c r="O500" s="45" t="n">
        <x:f>IF(AND(K500&lt;&gt;"",L500&lt;&gt;0),K500/L500,"")</x:f>
        <x:v>1.1639344262295082</x:v>
      </x:c>
      <x:c r="P500" s="46" t="n">
        <x:f>IF(AND(K500&lt;&gt;"",K500&lt;&gt;0,L500&lt;&gt;""),L500/K500,"")</x:f>
        <x:v>0.8591549295774648</x:v>
      </x:c>
      <x:c r="Q500" s="46" t="n">
        <x:f>IF(AND(L500&lt;&gt;"",L500&lt;&gt;0,M500&lt;&gt;""),M500/L500,"")</x:f>
        <x:v>0.9016393442622951</x:v>
      </x:c>
      <x:c r="R500" s="45" t="n">
        <x:f>IF(N500&lt;&gt;"",N500,IF(O500&lt;&gt;"",O500,""))</x:f>
        <x:v>1.2131147540983607</x:v>
      </x:c>
      <x:c r="S500" s="2" t="str">
        <x:f>IF(N500&lt;&gt;"","志愿/合格",IF(O500&lt;&gt;"","受验/合格",""))</x:f>
        <x:v>志愿/合格</x:v>
      </x:c>
      <x:c r="T500" s="2" t="str">
        <x:v>官方</x:v>
      </x:c>
      <x:c r="U500" s="2" t="str">
        <x:v>高</x:v>
      </x:c>
      <x:c r="V500" s="27" t="str">
        <x:v>大阪公立大学 2025年度 博士前期課程入試状況</x:v>
      </x:c>
      <x:c r="W500" s="27" t="str">
        <x:v>理学研究科／物理学専攻</x:v>
      </x:c>
      <x:c r="X500" s="27" t="str">
        <x:v>https://www.omu.ac.jp/admissions/assets/01%E3%80%80in_2025M_nyushijoukyou.pdf</x:v>
      </x:c>
      <x:c r="Y500" s="27" t="str">
        <x:v>专攻精确；第1次与第2次合计</x:v>
      </x:c>
      <x:c r="Z500" s="47" t="str"/>
    </x:row>
    <x:row r="501" ht="38" customHeight="1">
      <x:c r="A501" s="2" t="str">
        <x:v>大阪公立大学</x:v>
      </x:c>
      <x:c r="B501" s="2" t="str">
        <x:v>理学研究科</x:v>
      </x:c>
      <x:c r="C501" s="2" t="str">
        <x:v>物理学専攻</x:v>
      </x:c>
      <x:c r="D501" s="44" t="n">
        <x:v>2026</x:v>
      </x:c>
      <x:c r="E501" s="27" t="str">
        <x:v>全年合计（第1次+第2次）</x:v>
      </x:c>
      <x:c r="F501" s="27" t="str">
        <x:v>博士前期課程</x:v>
      </x:c>
      <x:c r="G501" s="27" t="str">
        <x:v>全部</x:v>
      </x:c>
      <x:c r="H501" s="27" t="str">
        <x:v>专攻/系</x:v>
      </x:c>
      <x:c r="I501" s="44" t="n">
        <x:v>55</x:v>
      </x:c>
      <x:c r="J501" s="44" t="n">
        <x:v>106</x:v>
      </x:c>
      <x:c r="K501" s="44" t="n">
        <x:v>99</x:v>
      </x:c>
      <x:c r="L501" s="44" t="n">
        <x:v>79</x:v>
      </x:c>
      <x:c r="M501" s="44" t="n">
        <x:v>70</x:v>
      </x:c>
      <x:c r="N501" s="45" t="n">
        <x:f>IF(AND(J501&lt;&gt;"",L501&lt;&gt;0),J501/L501,"")</x:f>
        <x:v>1.3417721518987342</x:v>
      </x:c>
      <x:c r="O501" s="45" t="n">
        <x:f>IF(AND(K501&lt;&gt;"",L501&lt;&gt;0),K501/L501,"")</x:f>
        <x:v>1.2531645569620253</x:v>
      </x:c>
      <x:c r="P501" s="46" t="n">
        <x:f>IF(AND(K501&lt;&gt;"",K501&lt;&gt;0,L501&lt;&gt;""),L501/K501,"")</x:f>
        <x:v>0.797979797979798</x:v>
      </x:c>
      <x:c r="Q501" s="46" t="n">
        <x:f>IF(AND(L501&lt;&gt;"",L501&lt;&gt;0,M501&lt;&gt;""),M501/L501,"")</x:f>
        <x:v>0.8860759493670886</x:v>
      </x:c>
      <x:c r="R501" s="45" t="n">
        <x:f>IF(N501&lt;&gt;"",N501,IF(O501&lt;&gt;"",O501,""))</x:f>
        <x:v>1.3417721518987342</x:v>
      </x:c>
      <x:c r="S501" s="2" t="str">
        <x:f>IF(N501&lt;&gt;"","志愿/合格",IF(O501&lt;&gt;"","受验/合格",""))</x:f>
        <x:v>志愿/合格</x:v>
      </x:c>
      <x:c r="T501" s="2" t="str">
        <x:v>官方</x:v>
      </x:c>
      <x:c r="U501" s="2" t="str">
        <x:v>高</x:v>
      </x:c>
      <x:c r="V501" s="27" t="str">
        <x:v>大阪公立大学 2026年度 博士前期課程入試状況</x:v>
      </x:c>
      <x:c r="W501" s="27" t="str">
        <x:v>理学研究科／物理学専攻</x:v>
      </x:c>
      <x:c r="X501" s="27" t="str">
        <x:v>https://www.omu.ac.jp/admissions/assets/01%E3%80%80in_2026M_nyushijoukyou.pdf</x:v>
      </x:c>
      <x:c r="Y501" s="27" t="str">
        <x:v>专攻精确；第1次与第2次合计</x:v>
      </x:c>
      <x:c r="Z501" s="47" t="str"/>
    </x:row>
    <x:row r="502" ht="38" customHeight="1">
      <x:c r="A502" s="2" t="str">
        <x:v>愛媛大学</x:v>
      </x:c>
      <x:c r="B502" s="2" t="str">
        <x:v>理工学研究科</x:v>
      </x:c>
      <x:c r="C502" s="2" t="str">
        <x:v>理工学専攻 自然科学基盤プログラム 地球科学分野</x:v>
      </x:c>
      <x:c r="D502" s="44" t="n">
        <x:v>2025</x:v>
      </x:c>
      <x:c r="E502" s="27" t="str">
        <x:v>全年合计</x:v>
      </x:c>
      <x:c r="F502" s="27" t="str">
        <x:v>博士前期課程</x:v>
      </x:c>
      <x:c r="G502" s="27" t="str">
        <x:v>一般+自己推薦等 合计</x:v>
      </x:c>
      <x:c r="H502" s="27" t="str">
        <x:v>专攻/系</x:v>
      </x:c>
      <x:c r="I502" s="44" t="n">
        <x:v>12</x:v>
      </x:c>
      <x:c r="J502" s="44" t="n">
        <x:v>15</x:v>
      </x:c>
      <x:c r="K502" s="44" t="n">
        <x:v>14</x:v>
      </x:c>
      <x:c r="L502" s="44" t="n">
        <x:v>14</x:v>
      </x:c>
      <x:c r="M502" s="44" t="n">
        <x:v>14</x:v>
      </x:c>
      <x:c r="N502" s="45" t="n">
        <x:f>IF(AND(J502&lt;&gt;"",L502&lt;&gt;0),J502/L502,"")</x:f>
        <x:v>1.0714285714285714</x:v>
      </x:c>
      <x:c r="O502" s="45" t="n">
        <x:f>IF(AND(K502&lt;&gt;"",L502&lt;&gt;0),K502/L502,"")</x:f>
        <x:v>1</x:v>
      </x:c>
      <x:c r="P502" s="46" t="n">
        <x:f>IF(AND(K502&lt;&gt;"",K502&lt;&gt;0,L502&lt;&gt;""),L502/K502,"")</x:f>
        <x:v>1</x:v>
      </x:c>
      <x:c r="Q502" s="46" t="n">
        <x:f>IF(AND(L502&lt;&gt;"",L502&lt;&gt;0,M502&lt;&gt;""),M502/L502,"")</x:f>
        <x:v>1</x:v>
      </x:c>
      <x:c r="R502" s="45" t="n">
        <x:f>IF(N502&lt;&gt;"",N502,IF(O502&lt;&gt;"",O502,""))</x:f>
        <x:v>1.0714285714285714</x:v>
      </x:c>
      <x:c r="S502" s="2" t="str">
        <x:f>IF(N502&lt;&gt;"","志愿/合格",IF(O502&lt;&gt;"","受验/合格",""))</x:f>
        <x:v>志愿/合格</x:v>
      </x:c>
      <x:c r="T502" s="2" t="str">
        <x:v>官方</x:v>
      </x:c>
      <x:c r="U502" s="2" t="str">
        <x:v>高</x:v>
      </x:c>
      <x:c r="V502" s="27" t="str">
        <x:v>令和7年度 愛媛大学大学院入学試験実施状況</x:v>
      </x:c>
      <x:c r="W502" s="27" t="str">
        <x:v>理工学研究科／理工学専攻／自然科学基盤プログラム／地球科学分野</x:v>
      </x:c>
      <x:c r="X502" s="27" t="str">
        <x:v>https://www.ehime-u.ac.jp/wp-content/uploads/2025/05/R7-3_jitsushijoukyou_daigakuin.pdf</x:v>
      </x:c>
      <x:c r="Y502" s="27" t="str">
        <x:v>项目精确；各选拔类别汇总</x:v>
      </x:c>
      <x:c r="Z502" s="47" t="str">
        <x:v>一般12/12/12/12；自己推薦3/2/2/2；其他为0</x:v>
      </x:c>
    </x:row>
    <x:row r="503" ht="38" customHeight="1">
      <x:c r="A503" s="2" t="str">
        <x:v>琉球大学</x:v>
      </x:c>
      <x:c r="B503" s="2" t="str">
        <x:v>理工学研究科</x:v>
      </x:c>
      <x:c r="C503" s="2" t="str">
        <x:v>物質地球科学専攻</x:v>
      </x:c>
      <x:c r="D503" s="44" t="n">
        <x:v>2022</x:v>
      </x:c>
      <x:c r="E503" s="27" t="str">
        <x:v>全年合计（4月+10月入学）</x:v>
      </x:c>
      <x:c r="F503" s="27" t="str">
        <x:v>博士前期課程</x:v>
      </x:c>
      <x:c r="G503" s="27" t="str">
        <x:v>全部</x:v>
      </x:c>
      <x:c r="H503" s="27" t="str">
        <x:v>专攻/系</x:v>
      </x:c>
      <x:c r="I503" s="44" t="n">
        <x:v>16</x:v>
      </x:c>
      <x:c r="J503" s="44" t="n">
        <x:v>18</x:v>
      </x:c>
      <x:c r="K503" s="44" t="n">
        <x:v>17</x:v>
      </x:c>
      <x:c r="L503" s="44" t="n">
        <x:v>12</x:v>
      </x:c>
      <x:c r="M503" s="44" t="n">
        <x:v>11</x:v>
      </x:c>
      <x:c r="N503" s="45" t="n">
        <x:f>IF(AND(J503&lt;&gt;"",L503&lt;&gt;0),J503/L503,"")</x:f>
        <x:v>1.5</x:v>
      </x:c>
      <x:c r="O503" s="45" t="n">
        <x:f>IF(AND(K503&lt;&gt;"",L503&lt;&gt;0),K503/L503,"")</x:f>
        <x:v>1.4166666666666667</x:v>
      </x:c>
      <x:c r="P503" s="46" t="n">
        <x:f>IF(AND(K503&lt;&gt;"",K503&lt;&gt;0,L503&lt;&gt;""),L503/K503,"")</x:f>
        <x:v>0.7058823529411765</x:v>
      </x:c>
      <x:c r="Q503" s="46" t="n">
        <x:f>IF(AND(L503&lt;&gt;"",L503&lt;&gt;0,M503&lt;&gt;""),M503/L503,"")</x:f>
        <x:v>0.9166666666666666</x:v>
      </x:c>
      <x:c r="R503" s="45" t="n">
        <x:f>IF(N503&lt;&gt;"",N503,IF(O503&lt;&gt;"",O503,""))</x:f>
        <x:v>1.5</x:v>
      </x:c>
      <x:c r="S503" s="2" t="str">
        <x:f>IF(N503&lt;&gt;"","志愿/合格",IF(O503&lt;&gt;"","受验/合格",""))</x:f>
        <x:v>志愿/合格</x:v>
      </x:c>
      <x:c r="T503" s="2" t="str">
        <x:v>官方</x:v>
      </x:c>
      <x:c r="U503" s="2" t="str">
        <x:v>高</x:v>
      </x:c>
      <x:c r="V503" s="27" t="str">
        <x:v>琉球大学 大学院（令和4年度）入試統計</x:v>
      </x:c>
      <x:c r="W503" s="27" t="str">
        <x:v>理工学研究科／物質地球科学専攻</x:v>
      </x:c>
      <x:c r="X503" s="27" t="str">
        <x:v>https://www.u-ryukyu.ac.jp/wp-content/uploads/2023/02/R04-daigakuinn-akinyuugaku-221003.pdf</x:v>
      </x:c>
      <x:c r="Y503" s="27" t="str">
        <x:v>专攻合计；物理系与地球环境系未拆分</x:v>
      </x:c>
      <x:c r="Z503" s="47" t="str"/>
    </x:row>
    <x:row r="504" ht="38" customHeight="1">
      <x:c r="A504" s="2" t="str">
        <x:v>琉球大学</x:v>
      </x:c>
      <x:c r="B504" s="2" t="str">
        <x:v>理工学研究科</x:v>
      </x:c>
      <x:c r="C504" s="2" t="str">
        <x:v>物質地球科学専攻</x:v>
      </x:c>
      <x:c r="D504" s="44" t="n">
        <x:v>2023</x:v>
      </x:c>
      <x:c r="E504" s="27" t="str">
        <x:v>全年合计（4月+10月入学）</x:v>
      </x:c>
      <x:c r="F504" s="27" t="str">
        <x:v>博士前期課程</x:v>
      </x:c>
      <x:c r="G504" s="27" t="str">
        <x:v>全部</x:v>
      </x:c>
      <x:c r="H504" s="27" t="str">
        <x:v>专攻/系</x:v>
      </x:c>
      <x:c r="I504" s="44" t="n">
        <x:v>16</x:v>
      </x:c>
      <x:c r="J504" s="44" t="n">
        <x:v>11</x:v>
      </x:c>
      <x:c r="K504" s="44" t="n">
        <x:v>11</x:v>
      </x:c>
      <x:c r="L504" s="44" t="n">
        <x:v>7</x:v>
      </x:c>
      <x:c r="M504" s="44" t="n">
        <x:v>7</x:v>
      </x:c>
      <x:c r="N504" s="45" t="n">
        <x:f>IF(AND(J504&lt;&gt;"",L504&lt;&gt;0),J504/L504,"")</x:f>
        <x:v>1.5714285714285714</x:v>
      </x:c>
      <x:c r="O504" s="45" t="n">
        <x:f>IF(AND(K504&lt;&gt;"",L504&lt;&gt;0),K504/L504,"")</x:f>
        <x:v>1.5714285714285714</x:v>
      </x:c>
      <x:c r="P504" s="46" t="n">
        <x:f>IF(AND(K504&lt;&gt;"",K504&lt;&gt;0,L504&lt;&gt;""),L504/K504,"")</x:f>
        <x:v>0.6363636363636364</x:v>
      </x:c>
      <x:c r="Q504" s="46" t="n">
        <x:f>IF(AND(L504&lt;&gt;"",L504&lt;&gt;0,M504&lt;&gt;""),M504/L504,"")</x:f>
        <x:v>1</x:v>
      </x:c>
      <x:c r="R504" s="45" t="n">
        <x:f>IF(N504&lt;&gt;"",N504,IF(O504&lt;&gt;"",O504,""))</x:f>
        <x:v>1.5714285714285714</x:v>
      </x:c>
      <x:c r="S504" s="2" t="str">
        <x:f>IF(N504&lt;&gt;"","志愿/合格",IF(O504&lt;&gt;"","受验/合格",""))</x:f>
        <x:v>志愿/合格</x:v>
      </x:c>
      <x:c r="T504" s="2" t="str">
        <x:v>官方</x:v>
      </x:c>
      <x:c r="U504" s="2" t="str">
        <x:v>高</x:v>
      </x:c>
      <x:c r="V504" s="27" t="str">
        <x:v>琉球大学 大学院（令和5年度）入試統計</x:v>
      </x:c>
      <x:c r="W504" s="27" t="str">
        <x:v>理工学研究科／物質地球科学専攻</x:v>
      </x:c>
      <x:c r="X504" s="27" t="str">
        <x:v>https://www.u-ryukyu.ac.jp/wp-content/uploads/2023/05/R5_nyuugakusyasu_daigakuin.pdf</x:v>
      </x:c>
      <x:c r="Y504" s="27" t="str">
        <x:v>专攻合计；物理系与地球环境系未拆分</x:v>
      </x:c>
      <x:c r="Z504" s="47" t="str"/>
    </x:row>
    <x:row r="505" ht="38" customHeight="1">
      <x:c r="A505" s="2" t="str">
        <x:v>琉球大学</x:v>
      </x:c>
      <x:c r="B505" s="2" t="str">
        <x:v>理工学研究科</x:v>
      </x:c>
      <x:c r="C505" s="2" t="str">
        <x:v>物質地球科学専攻</x:v>
      </x:c>
      <x:c r="D505" s="44" t="n">
        <x:v>2024</x:v>
      </x:c>
      <x:c r="E505" s="27" t="str">
        <x:v>全年合计（4月+10月入学）</x:v>
      </x:c>
      <x:c r="F505" s="27" t="str">
        <x:v>博士前期課程</x:v>
      </x:c>
      <x:c r="G505" s="27" t="str">
        <x:v>全部</x:v>
      </x:c>
      <x:c r="H505" s="27" t="str">
        <x:v>专攻/系</x:v>
      </x:c>
      <x:c r="I505" s="44" t="n">
        <x:v>16</x:v>
      </x:c>
      <x:c r="J505" s="44" t="n">
        <x:v>9</x:v>
      </x:c>
      <x:c r="K505" s="44" t="n">
        <x:v>8</x:v>
      </x:c>
      <x:c r="L505" s="44" t="n">
        <x:v>6</x:v>
      </x:c>
      <x:c r="M505" s="44" t="n">
        <x:v>5</x:v>
      </x:c>
      <x:c r="N505" s="45" t="n">
        <x:f>IF(AND(J505&lt;&gt;"",L505&lt;&gt;0),J505/L505,"")</x:f>
        <x:v>1.5</x:v>
      </x:c>
      <x:c r="O505" s="45" t="n">
        <x:f>IF(AND(K505&lt;&gt;"",L505&lt;&gt;0),K505/L505,"")</x:f>
        <x:v>1.3333333333333333</x:v>
      </x:c>
      <x:c r="P505" s="46" t="n">
        <x:f>IF(AND(K505&lt;&gt;"",K505&lt;&gt;0,L505&lt;&gt;""),L505/K505,"")</x:f>
        <x:v>0.75</x:v>
      </x:c>
      <x:c r="Q505" s="46" t="n">
        <x:f>IF(AND(L505&lt;&gt;"",L505&lt;&gt;0,M505&lt;&gt;""),M505/L505,"")</x:f>
        <x:v>0.8333333333333334</x:v>
      </x:c>
      <x:c r="R505" s="45" t="n">
        <x:f>IF(N505&lt;&gt;"",N505,IF(O505&lt;&gt;"",O505,""))</x:f>
        <x:v>1.5</x:v>
      </x:c>
      <x:c r="S505" s="2" t="str">
        <x:f>IF(N505&lt;&gt;"","志愿/合格",IF(O505&lt;&gt;"","受验/合格",""))</x:f>
        <x:v>志愿/合格</x:v>
      </x:c>
      <x:c r="T505" s="2" t="str">
        <x:v>官方</x:v>
      </x:c>
      <x:c r="U505" s="2" t="str">
        <x:v>高</x:v>
      </x:c>
      <x:c r="V505" s="27" t="str">
        <x:v>琉球大学 大学院（令和6年度）入試統計</x:v>
      </x:c>
      <x:c r="W505" s="27" t="str">
        <x:v>理工学研究科／物質地球科学専攻</x:v>
      </x:c>
      <x:c r="X505" s="27" t="str">
        <x:v>https://www.u-ryukyu.ac.jp/wp-content/uploads/2024/10/R6_nyuugakusyasu_daigakuin-241008.pdf</x:v>
      </x:c>
      <x:c r="Y505" s="27" t="str">
        <x:v>专攻合计；物理系与地球环境系未拆分</x:v>
      </x:c>
      <x:c r="Z505" s="47" t="str"/>
    </x:row>
    <x:row r="506" ht="38" customHeight="1">
      <x:c r="A506" s="2" t="str">
        <x:v>琉球大学</x:v>
      </x:c>
      <x:c r="B506" s="2" t="str">
        <x:v>理工学研究科</x:v>
      </x:c>
      <x:c r="C506" s="2" t="str">
        <x:v>物質地球科学専攻</x:v>
      </x:c>
      <x:c r="D506" s="44" t="n">
        <x:v>2025</x:v>
      </x:c>
      <x:c r="E506" s="27" t="str">
        <x:v>全年合计（4月+10月入学）</x:v>
      </x:c>
      <x:c r="F506" s="27" t="str">
        <x:v>博士前期課程</x:v>
      </x:c>
      <x:c r="G506" s="27" t="str">
        <x:v>全部</x:v>
      </x:c>
      <x:c r="H506" s="27" t="str">
        <x:v>专攻/系</x:v>
      </x:c>
      <x:c r="I506" s="44" t="n">
        <x:v>16</x:v>
      </x:c>
      <x:c r="J506" s="44" t="n">
        <x:v>13</x:v>
      </x:c>
      <x:c r="K506" s="44" t="n">
        <x:v>12</x:v>
      </x:c>
      <x:c r="L506" s="44" t="n">
        <x:v>11</x:v>
      </x:c>
      <x:c r="M506" s="44" t="n">
        <x:v>9</x:v>
      </x:c>
      <x:c r="N506" s="45" t="n">
        <x:f>IF(AND(J506&lt;&gt;"",L506&lt;&gt;0),J506/L506,"")</x:f>
        <x:v>1.1818181818181819</x:v>
      </x:c>
      <x:c r="O506" s="45" t="n">
        <x:f>IF(AND(K506&lt;&gt;"",L506&lt;&gt;0),K506/L506,"")</x:f>
        <x:v>1.0909090909090908</x:v>
      </x:c>
      <x:c r="P506" s="46" t="n">
        <x:f>IF(AND(K506&lt;&gt;"",K506&lt;&gt;0,L506&lt;&gt;""),L506/K506,"")</x:f>
        <x:v>0.9166666666666666</x:v>
      </x:c>
      <x:c r="Q506" s="46" t="n">
        <x:f>IF(AND(L506&lt;&gt;"",L506&lt;&gt;0,M506&lt;&gt;""),M506/L506,"")</x:f>
        <x:v>0.8181818181818182</x:v>
      </x:c>
      <x:c r="R506" s="45" t="n">
        <x:f>IF(N506&lt;&gt;"",N506,IF(O506&lt;&gt;"",O506,""))</x:f>
        <x:v>1.1818181818181819</x:v>
      </x:c>
      <x:c r="S506" s="2" t="str">
        <x:f>IF(N506&lt;&gt;"","志愿/合格",IF(O506&lt;&gt;"","受验/合格",""))</x:f>
        <x:v>志愿/合格</x:v>
      </x:c>
      <x:c r="T506" s="2" t="str">
        <x:v>官方</x:v>
      </x:c>
      <x:c r="U506" s="2" t="str">
        <x:v>高</x:v>
      </x:c>
      <x:c r="V506" s="27" t="str">
        <x:v>琉球大学 大学院（令和7年度）入試統計</x:v>
      </x:c>
      <x:c r="W506" s="27" t="str">
        <x:v>理工学研究科／物質地球科学専攻</x:v>
      </x:c>
      <x:c r="X506" s="27" t="str">
        <x:v>https://www.u-ryukyu.ac.jp/wp-content/uploads/2025/12/R7_nyushi_tokei_daigakuin_202511.pdf</x:v>
      </x:c>
      <x:c r="Y506" s="27" t="str">
        <x:v>专攻合计；物理系与地球环境系未拆分</x:v>
      </x:c>
      <x:c r="Z506" s="47" t="str"/>
    </x:row>
    <x:row r="507" ht="38" customHeight="1">
      <x:c r="A507" s="2" t="str">
        <x:v>琉球大学</x:v>
      </x:c>
      <x:c r="B507" s="2" t="str">
        <x:v>理工学研究科</x:v>
      </x:c>
      <x:c r="C507" s="2" t="str">
        <x:v>物質地球科学専攻</x:v>
      </x:c>
      <x:c r="D507" s="44" t="n">
        <x:v>2026</x:v>
      </x:c>
      <x:c r="E507" s="27" t="str">
        <x:v>全年合计（4月+10月入学）</x:v>
      </x:c>
      <x:c r="F507" s="27" t="str">
        <x:v>博士前期課程</x:v>
      </x:c>
      <x:c r="G507" s="27" t="str">
        <x:v>全部</x:v>
      </x:c>
      <x:c r="H507" s="27" t="str">
        <x:v>专攻/系</x:v>
      </x:c>
      <x:c r="I507" s="44" t="n">
        <x:v>16</x:v>
      </x:c>
      <x:c r="J507" s="44" t="n">
        <x:v>22</x:v>
      </x:c>
      <x:c r="K507" s="44" t="n">
        <x:v>21</x:v>
      </x:c>
      <x:c r="L507" s="44" t="n">
        <x:v>15</x:v>
      </x:c>
      <x:c r="M507" s="44" t="n">
        <x:v>15</x:v>
      </x:c>
      <x:c r="N507" s="45" t="n">
        <x:f>IF(AND(J507&lt;&gt;"",L507&lt;&gt;0),J507/L507,"")</x:f>
        <x:v>1.4666666666666666</x:v>
      </x:c>
      <x:c r="O507" s="45" t="n">
        <x:f>IF(AND(K507&lt;&gt;"",L507&lt;&gt;0),K507/L507,"")</x:f>
        <x:v>1.4</x:v>
      </x:c>
      <x:c r="P507" s="46" t="n">
        <x:f>IF(AND(K507&lt;&gt;"",K507&lt;&gt;0,L507&lt;&gt;""),L507/K507,"")</x:f>
        <x:v>0.7142857142857143</x:v>
      </x:c>
      <x:c r="Q507" s="46" t="n">
        <x:f>IF(AND(L507&lt;&gt;"",L507&lt;&gt;0,M507&lt;&gt;""),M507/L507,"")</x:f>
        <x:v>1</x:v>
      </x:c>
      <x:c r="R507" s="45" t="n">
        <x:f>IF(N507&lt;&gt;"",N507,IF(O507&lt;&gt;"",O507,""))</x:f>
        <x:v>1.4666666666666666</x:v>
      </x:c>
      <x:c r="S507" s="2" t="str">
        <x:f>IF(N507&lt;&gt;"","志愿/合格",IF(O507&lt;&gt;"","受验/合格",""))</x:f>
        <x:v>志愿/合格</x:v>
      </x:c>
      <x:c r="T507" s="2" t="str">
        <x:v>官方</x:v>
      </x:c>
      <x:c r="U507" s="2" t="str">
        <x:v>高</x:v>
      </x:c>
      <x:c r="V507" s="27" t="str">
        <x:v>琉球大学 大学院（令和8年度）入試統計</x:v>
      </x:c>
      <x:c r="W507" s="27" t="str">
        <x:v>理工学研究科／物質地球科学専攻</x:v>
      </x:c>
      <x:c r="X507" s="27" t="str">
        <x:v>https://www.u-ryukyu.ac.jp/wp-content/uploads/2026/05/R8_nyushitoukei_daigakuin.pdf</x:v>
      </x:c>
      <x:c r="Y507" s="27" t="str">
        <x:v>专攻合计；物理系与地球环境系未拆分</x:v>
      </x:c>
      <x:c r="Z507" s="47" t="str"/>
    </x:row>
  </x:sheetData>
  <x:mergeCells>
    <x:mergeCell ref="A1:Z1"/>
    <x:mergeCell ref="A2:Z2"/>
  </x:mergeCells>
  <x:conditionalFormatting sqref="R5:R507">
    <x:cfRule type="colorScale" priority="1">
      <x:colorScale>
        <x:cfvo type="min"/>
        <x:cfvo type="percentile" val="50"/>
        <x:cfvo type="max"/>
        <x:color rgb="FFE8F5F2"/>
        <x:color rgb="FFFFF3D9"/>
        <x:color rgb="FFFBE9E7"/>
      </x:colorScale>
    </x:cfRule>
  </x:conditionalFormatting>
  <x:conditionalFormatting sqref="T5:U507">
    <x:cfRule type="containsText" dxfId="3" priority="2" operator="containsText" text="民间"/>
  </x:conditionalFormatting>
  <x:pageMargins left="0.7" right="0.7" top="0.75" bottom="0.75" header="0.3" footer="0.3"/>
  <x:tableParts count="1">
    <x:tablePart xmlns:r="http://schemas.openxmlformats.org/officeDocument/2006/relationships" r:id="R07b30abba8e24d3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20" hidden="0" customWidth="1"/>
    <x:col min="4" max="4" width="19" hidden="0" customWidth="1"/>
    <x:col min="5" max="5" width="19" hidden="0" customWidth="1"/>
    <x:col min="6" max="6" width="15" hidden="0" customWidth="1"/>
    <x:col min="7" max="7" width="15" hidden="0" customWidth="1"/>
    <x:col min="8" max="8" width="15" hidden="0" customWidth="1"/>
  </x:cols>
  <x:sheetData>
    <x:row r="1" ht="34" customHeight="1">
      <x:c r="A1" s="4" t="str">
        <x:v>按大学汇总的官方数据覆盖</x:v>
      </x:c>
      <x:c r="B1" s="4"/>
      <x:c r="C1" s="4"/>
      <x:c r="D1" s="4"/>
      <x:c r="E1" s="4"/>
      <x:c r="F1" s="4"/>
      <x:c r="G1" s="4"/>
      <x:c r="H1" s="4"/>
    </x:row>
    <x:row r="2" ht="25" customHeight="1">
      <x:c r="A2" s="6" t="str">
        <x:v>覆盖率基于当前项目清单行；“有数据”包括仅能取得研究科/学院合计的项目。 </x:v>
      </x:c>
      <x:c r="B2" s="6"/>
      <x:c r="C2" s="6"/>
      <x:c r="D2" s="6"/>
      <x:c r="E2" s="6"/>
      <x:c r="F2" s="6"/>
      <x:c r="G2" s="6"/>
      <x:c r="H2" s="6"/>
    </x:row>
    <x:row r="3">
      <x:c r="A3" s="2"/>
      <x:c r="B3" s="2"/>
      <x:c r="C3" s="2"/>
      <x:c r="D3" s="2"/>
      <x:c r="E3" s="2"/>
      <x:c r="F3" s="2"/>
      <x:c r="G3" s="2"/>
      <x:c r="H3" s="2"/>
    </x:row>
    <x:row r="4" ht="32" customHeight="1">
      <x:c r="A4" s="33" t="str">
        <x:v>大学</x:v>
      </x:c>
      <x:c r="B4" s="33" t="str">
        <x:v>项目清单行</x:v>
      </x:c>
      <x:c r="C4" s="33" t="str">
        <x:v>精确到专攻/项目</x:v>
      </x:c>
      <x:c r="D4" s="33" t="str">
        <x:v>仅上位层级合计</x:v>
      </x:c>
      <x:c r="E4" s="33" t="str">
        <x:v>未找到公开统计</x:v>
      </x:c>
      <x:c r="F4" s="33" t="str">
        <x:v>精确覆盖率</x:v>
      </x:c>
      <x:c r="G4" s="33" t="str">
        <x:v>有数据覆盖率</x:v>
      </x:c>
      <x:c r="H4" s="33" t="str">
        <x:v>官方数值行</x:v>
      </x:c>
    </x:row>
    <x:row r="5" ht="27" customHeight="1">
      <x:c r="A5" s="2" t="str">
        <x:v>東京大学</x:v>
      </x:c>
      <x:c r="B5" s="44" t="n">
        <x:f>COUNTIF('项目专攻清单'!$B$5:$B$155,A5)</x:f>
        <x:v>25</x:v>
      </x:c>
      <x:c r="C5" s="44" t="n">
        <x:f>COUNTIFS('项目专攻清单'!$B$5:$B$155,A5,'项目专攻清单'!$H$5:$H$155,"精确到专攻/项目")</x:f>
        <x:v>15</x:v>
      </x:c>
      <x:c r="D5" s="44" t="n">
        <x:f>COUNTIFS('项目专攻清单'!$B$5:$B$155,A5,'项目专攻清单'!$H$5:$H$155,"仅上位层级合计")</x:f>
        <x:v>6</x:v>
      </x:c>
      <x:c r="E5" s="44" t="n">
        <x:f>COUNTIFS('项目专攻清单'!$B$5:$B$155,A5,'项目专攻清单'!$H$5:$H$155,"未找到公开统计")</x:f>
        <x:v>4</x:v>
      </x:c>
      <x:c r="F5" s="46" t="n">
        <x:f>IF(B5=0,"",C5/B5)</x:f>
        <x:v>0.6</x:v>
      </x:c>
      <x:c r="G5" s="46" t="n">
        <x:f>IF(B5=0,"",(C5+D5)/B5)</x:f>
        <x:v>0.84</x:v>
      </x:c>
      <x:c r="H5" s="48" t="n">
        <x:f>COUNTIF('历年报录数据'!$A$5:$A$507,A5)</x:f>
        <x:v>70</x:v>
      </x:c>
    </x:row>
    <x:row r="6" ht="27" customHeight="1">
      <x:c r="A6" s="2" t="str">
        <x:v>京都大学</x:v>
      </x:c>
      <x:c r="B6" s="44" t="n">
        <x:f>COUNTIF('项目专攻清单'!$B$5:$B$155,A6)</x:f>
        <x:v>11</x:v>
      </x:c>
      <x:c r="C6" s="44" t="n">
        <x:f>COUNTIFS('项目专攻清单'!$B$5:$B$155,A6,'项目专攻清单'!$H$5:$H$155,"精确到专攻/项目")</x:f>
        <x:v>5</x:v>
      </x:c>
      <x:c r="D6" s="44" t="n">
        <x:f>COUNTIFS('项目专攻清单'!$B$5:$B$155,A6,'项目专攻清单'!$H$5:$H$155,"仅上位层级合计")</x:f>
        <x:v>0</x:v>
      </x:c>
      <x:c r="E6" s="44" t="n">
        <x:f>COUNTIFS('项目专攻清单'!$B$5:$B$155,A6,'项目专攻清单'!$H$5:$H$155,"未找到公开统计")</x:f>
        <x:v>6</x:v>
      </x:c>
      <x:c r="F6" s="46" t="n">
        <x:f>IF(B6=0,"",C6/B6)</x:f>
        <x:v>0.45454545454545453</x:v>
      </x:c>
      <x:c r="G6" s="46" t="n">
        <x:f>IF(B6=0,"",(C6+D6)/B6)</x:f>
        <x:v>0.45454545454545453</x:v>
      </x:c>
      <x:c r="H6" s="48" t="n">
        <x:f>COUNTIF('历年报录数据'!$A$5:$A$507,A6)</x:f>
        <x:v>28</x:v>
      </x:c>
    </x:row>
    <x:row r="7" ht="27" customHeight="1">
      <x:c r="A7" s="2" t="str">
        <x:v>東北大学</x:v>
      </x:c>
      <x:c r="B7" s="44" t="n">
        <x:f>COUNTIF('项目专攻清单'!$B$5:$B$155,A7)</x:f>
        <x:v>17</x:v>
      </x:c>
      <x:c r="C7" s="44" t="n">
        <x:f>COUNTIFS('项目专攻清单'!$B$5:$B$155,A7,'项目专攻清单'!$H$5:$H$155,"精确到专攻/项目")</x:f>
        <x:v>7</x:v>
      </x:c>
      <x:c r="D7" s="44" t="n">
        <x:f>COUNTIFS('项目专攻清单'!$B$5:$B$155,A7,'项目专攻清单'!$H$5:$H$155,"仅上位层级合计")</x:f>
        <x:v>0</x:v>
      </x:c>
      <x:c r="E7" s="44" t="n">
        <x:f>COUNTIFS('项目专攻清单'!$B$5:$B$155,A7,'项目专攻清单'!$H$5:$H$155,"未找到公开统计")</x:f>
        <x:v>10</x:v>
      </x:c>
      <x:c r="F7" s="46" t="n">
        <x:f>IF(B7=0,"",C7/B7)</x:f>
        <x:v>0.4117647058823529</x:v>
      </x:c>
      <x:c r="G7" s="46" t="n">
        <x:f>IF(B7=0,"",(C7+D7)/B7)</x:f>
        <x:v>0.4117647058823529</x:v>
      </x:c>
      <x:c r="H7" s="48" t="n">
        <x:f>COUNTIF('历年报录数据'!$A$5:$A$507,A7)</x:f>
        <x:v>29</x:v>
      </x:c>
    </x:row>
    <x:row r="8" ht="27" customHeight="1">
      <x:c r="A8" s="2" t="str">
        <x:v>大阪大学</x:v>
      </x:c>
      <x:c r="B8" s="44" t="n">
        <x:f>COUNTIF('项目专攻清单'!$B$5:$B$155,A8)</x:f>
        <x:v>11</x:v>
      </x:c>
      <x:c r="C8" s="44" t="n">
        <x:f>COUNTIFS('项目专攻清单'!$B$5:$B$155,A8,'项目专攻清单'!$H$5:$H$155,"精确到专攻/项目")</x:f>
        <x:v>3</x:v>
      </x:c>
      <x:c r="D8" s="44" t="n">
        <x:f>COUNTIFS('项目专攻清单'!$B$5:$B$155,A8,'项目专攻清单'!$H$5:$H$155,"仅上位层级合计")</x:f>
        <x:v>8</x:v>
      </x:c>
      <x:c r="E8" s="44" t="n">
        <x:f>COUNTIFS('项目专攻清单'!$B$5:$B$155,A8,'项目专攻清单'!$H$5:$H$155,"未找到公开统计")</x:f>
        <x:v>0</x:v>
      </x:c>
      <x:c r="F8" s="46" t="n">
        <x:f>IF(B8=0,"",C8/B8)</x:f>
        <x:v>0.2727272727272727</x:v>
      </x:c>
      <x:c r="G8" s="46" t="n">
        <x:f>IF(B8=0,"",(C8+D8)/B8)</x:f>
        <x:v>1</x:v>
      </x:c>
      <x:c r="H8" s="48" t="n">
        <x:f>COUNTIF('历年报录数据'!$A$5:$A$507,A8)</x:f>
        <x:v>13</x:v>
      </x:c>
    </x:row>
    <x:row r="9" ht="27" customHeight="1">
      <x:c r="A9" s="2" t="str">
        <x:v>名古屋大学</x:v>
      </x:c>
      <x:c r="B9" s="44" t="n">
        <x:f>COUNTIF('项目专攻清单'!$B$5:$B$155,A9)</x:f>
        <x:v>11</x:v>
      </x:c>
      <x:c r="C9" s="44" t="n">
        <x:f>COUNTIFS('项目专攻清单'!$B$5:$B$155,A9,'项目专攻清单'!$H$5:$H$155,"精确到专攻/项目")</x:f>
        <x:v>8</x:v>
      </x:c>
      <x:c r="D9" s="44" t="n">
        <x:f>COUNTIFS('项目专攻清单'!$B$5:$B$155,A9,'项目专攻清单'!$H$5:$H$155,"仅上位层级合计")</x:f>
        <x:v>0</x:v>
      </x:c>
      <x:c r="E9" s="44" t="n">
        <x:f>COUNTIFS('项目专攻清单'!$B$5:$B$155,A9,'项目专攻清单'!$H$5:$H$155,"未找到公开统计")</x:f>
        <x:v>3</x:v>
      </x:c>
      <x:c r="F9" s="46" t="n">
        <x:f>IF(B9=0,"",C9/B9)</x:f>
        <x:v>0.7272727272727273</x:v>
      </x:c>
      <x:c r="G9" s="46" t="n">
        <x:f>IF(B9=0,"",(C9+D9)/B9)</x:f>
        <x:v>0.7272727272727273</x:v>
      </x:c>
      <x:c r="H9" s="48" t="n">
        <x:f>COUNTIF('历年报录数据'!$A$5:$A$507,A9)</x:f>
        <x:v>65</x:v>
      </x:c>
    </x:row>
    <x:row r="10" ht="27" customHeight="1">
      <x:c r="A10" s="2" t="str">
        <x:v>東京科学大学（旧・東京工業大学）</x:v>
      </x:c>
      <x:c r="B10" s="44" t="n">
        <x:f>COUNTIF('项目专攻清单'!$B$5:$B$155,A10)</x:f>
        <x:v>14</x:v>
      </x:c>
      <x:c r="C10" s="44" t="n">
        <x:f>COUNTIFS('项目专攻清单'!$B$5:$B$155,A10,'项目专攻清单'!$H$5:$H$155,"精确到专攻/项目")</x:f>
        <x:v>14</x:v>
      </x:c>
      <x:c r="D10" s="44" t="n">
        <x:f>COUNTIFS('项目专攻清单'!$B$5:$B$155,A10,'项目专攻清单'!$H$5:$H$155,"仅上位层级合计")</x:f>
        <x:v>0</x:v>
      </x:c>
      <x:c r="E10" s="44" t="n">
        <x:f>COUNTIFS('项目专攻清单'!$B$5:$B$155,A10,'项目专攻清单'!$H$5:$H$155,"未找到公开统计")</x:f>
        <x:v>0</x:v>
      </x:c>
      <x:c r="F10" s="46" t="n">
        <x:f>IF(B10=0,"",C10/B10)</x:f>
        <x:v>1</x:v>
      </x:c>
      <x:c r="G10" s="46" t="n">
        <x:f>IF(B10=0,"",(C10+D10)/B10)</x:f>
        <x:v>1</x:v>
      </x:c>
      <x:c r="H10" s="48" t="n">
        <x:f>COUNTIF('历年报录数据'!$A$5:$A$507,A10)</x:f>
        <x:v>70</x:v>
      </x:c>
    </x:row>
    <x:row r="11" ht="27" customHeight="1">
      <x:c r="A11" s="2" t="str">
        <x:v>北海道大学</x:v>
      </x:c>
      <x:c r="B11" s="44" t="n">
        <x:f>COUNTIF('项目专攻清单'!$B$5:$B$155,A11)</x:f>
        <x:v>8</x:v>
      </x:c>
      <x:c r="C11" s="44" t="n">
        <x:f>COUNTIFS('项目专攻清单'!$B$5:$B$155,A11,'项目专攻清单'!$H$5:$H$155,"精确到专攻/项目")</x:f>
        <x:v>2</x:v>
      </x:c>
      <x:c r="D11" s="44" t="n">
        <x:f>COUNTIFS('项目专攻清单'!$B$5:$B$155,A11,'项目专攻清单'!$H$5:$H$155,"仅上位层级合计")</x:f>
        <x:v>5</x:v>
      </x:c>
      <x:c r="E11" s="44" t="n">
        <x:f>COUNTIFS('项目专攻清单'!$B$5:$B$155,A11,'项目专攻清单'!$H$5:$H$155,"未找到公开统计")</x:f>
        <x:v>1</x:v>
      </x:c>
      <x:c r="F11" s="46" t="n">
        <x:f>IF(B11=0,"",C11/B11)</x:f>
        <x:v>0.25</x:v>
      </x:c>
      <x:c r="G11" s="46" t="n">
        <x:f>IF(B11=0,"",(C11+D11)/B11)</x:f>
        <x:v>0.875</x:v>
      </x:c>
      <x:c r="H11" s="48" t="n">
        <x:f>COUNTIF('历年报录数据'!$A$5:$A$507,A11)</x:f>
        <x:v>27</x:v>
      </x:c>
    </x:row>
    <x:row r="12" ht="27" customHeight="1">
      <x:c r="A12" s="2" t="str">
        <x:v>九州大学</x:v>
      </x:c>
      <x:c r="B12" s="44" t="n">
        <x:f>COUNTIF('项目专攻清单'!$B$5:$B$155,A12)</x:f>
        <x:v>12</x:v>
      </x:c>
      <x:c r="C12" s="44" t="n">
        <x:f>COUNTIFS('项目专攻清单'!$B$5:$B$155,A12,'项目专攻清单'!$H$5:$H$155,"精确到专攻/项目")</x:f>
        <x:v>10</x:v>
      </x:c>
      <x:c r="D12" s="44" t="n">
        <x:f>COUNTIFS('项目专攻清单'!$B$5:$B$155,A12,'项目专攻清单'!$H$5:$H$155,"仅上位层级合计")</x:f>
        <x:v>0</x:v>
      </x:c>
      <x:c r="E12" s="44" t="n">
        <x:f>COUNTIFS('项目专攻清单'!$B$5:$B$155,A12,'项目专攻清单'!$H$5:$H$155,"未找到公开统计")</x:f>
        <x:v>2</x:v>
      </x:c>
      <x:c r="F12" s="46" t="n">
        <x:f>IF(B12=0,"",C12/B12)</x:f>
        <x:v>0.8333333333333334</x:v>
      </x:c>
      <x:c r="G12" s="46" t="n">
        <x:f>IF(B12=0,"",(C12+D12)/B12)</x:f>
        <x:v>0.8333333333333334</x:v>
      </x:c>
      <x:c r="H12" s="48" t="n">
        <x:f>COUNTIF('历年报录数据'!$A$5:$A$507,A12)</x:f>
        <x:v>27</x:v>
      </x:c>
    </x:row>
    <x:row r="13" ht="27" customHeight="1">
      <x:c r="A13" s="2" t="str">
        <x:v>早稲田大学</x:v>
      </x:c>
      <x:c r="B13" s="44" t="n">
        <x:f>COUNTIF('项目专攻清单'!$B$5:$B$155,A13)</x:f>
        <x:v>7</x:v>
      </x:c>
      <x:c r="C13" s="44" t="n">
        <x:f>COUNTIFS('项目专攻清单'!$B$5:$B$155,A13,'项目专攻清单'!$H$5:$H$155,"精确到专攻/项目")</x:f>
        <x:v>0</x:v>
      </x:c>
      <x:c r="D13" s="44" t="n">
        <x:f>COUNTIFS('项目专攻清单'!$B$5:$B$155,A13,'项目专攻清单'!$H$5:$H$155,"仅上位层级合计")</x:f>
        <x:v>0</x:v>
      </x:c>
      <x:c r="E13" s="44" t="n">
        <x:f>COUNTIFS('项目专攻清单'!$B$5:$B$155,A13,'项目专攻清单'!$H$5:$H$155,"未找到公开统计")</x:f>
        <x:v>7</x:v>
      </x:c>
      <x:c r="F13" s="46" t="n">
        <x:f>IF(B13=0,"",C13/B13)</x:f>
        <x:v>0</x:v>
      </x:c>
      <x:c r="G13" s="46" t="n">
        <x:f>IF(B13=0,"",(C13+D13)/B13)</x:f>
        <x:v>0</x:v>
      </x:c>
      <x:c r="H13" s="48" t="n">
        <x:f>COUNTIF('历年报录数据'!$A$5:$A$507,A13)</x:f>
        <x:v>0</x:v>
      </x:c>
    </x:row>
    <x:row r="14" ht="27" customHeight="1">
      <x:c r="A14" s="2" t="str">
        <x:v>慶應義塾大学</x:v>
      </x:c>
      <x:c r="B14" s="44" t="n">
        <x:f>COUNTIF('项目专攻清单'!$B$5:$B$155,A14)</x:f>
        <x:v>1</x:v>
      </x:c>
      <x:c r="C14" s="44" t="n">
        <x:f>COUNTIFS('项目专攻清单'!$B$5:$B$155,A14,'项目专攻清单'!$H$5:$H$155,"精确到专攻/项目")</x:f>
        <x:v>1</x:v>
      </x:c>
      <x:c r="D14" s="44" t="n">
        <x:f>COUNTIFS('项目专攻清单'!$B$5:$B$155,A14,'项目专攻清单'!$H$5:$H$155,"仅上位层级合计")</x:f>
        <x:v>0</x:v>
      </x:c>
      <x:c r="E14" s="44" t="n">
        <x:f>COUNTIFS('项目专攻清单'!$B$5:$B$155,A14,'项目专攻清单'!$H$5:$H$155,"未找到公开统计")</x:f>
        <x:v>0</x:v>
      </x:c>
      <x:c r="F14" s="46" t="n">
        <x:f>IF(B14=0,"",C14/B14)</x:f>
        <x:v>1</x:v>
      </x:c>
      <x:c r="G14" s="46" t="n">
        <x:f>IF(B14=0,"",(C14+D14)/B14)</x:f>
        <x:v>1</x:v>
      </x:c>
      <x:c r="H14" s="48" t="n">
        <x:f>COUNTIF('历年报录数据'!$A$5:$A$507,A14)</x:f>
        <x:v>5</x:v>
      </x:c>
    </x:row>
    <x:row r="15" ht="27" customHeight="1">
      <x:c r="A15" s="2" t="str">
        <x:v>神戸大学</x:v>
      </x:c>
      <x:c r="B15" s="44" t="n">
        <x:f>COUNTIF('项目专攻清单'!$B$5:$B$155,A15)</x:f>
        <x:v>7</x:v>
      </x:c>
      <x:c r="C15" s="44" t="n">
        <x:f>COUNTIFS('项目专攻清单'!$B$5:$B$155,A15,'项目专攻清单'!$H$5:$H$155,"精确到专攻/项目")</x:f>
        <x:v>2</x:v>
      </x:c>
      <x:c r="D15" s="44" t="n">
        <x:f>COUNTIFS('项目专攻清单'!$B$5:$B$155,A15,'项目专攻清单'!$H$5:$H$155,"仅上位层级合计")</x:f>
        <x:v>5</x:v>
      </x:c>
      <x:c r="E15" s="44" t="n">
        <x:f>COUNTIFS('项目专攻清单'!$B$5:$B$155,A15,'项目专攻清单'!$H$5:$H$155,"未找到公开统计")</x:f>
        <x:v>0</x:v>
      </x:c>
      <x:c r="F15" s="46" t="n">
        <x:f>IF(B15=0,"",C15/B15)</x:f>
        <x:v>0.2857142857142857</x:v>
      </x:c>
      <x:c r="G15" s="46" t="n">
        <x:f>IF(B15=0,"",(C15+D15)/B15)</x:f>
        <x:v>1</x:v>
      </x:c>
      <x:c r="H15" s="48" t="n">
        <x:f>COUNTIF('历年报录数据'!$A$5:$A$507,A15)</x:f>
        <x:v>24</x:v>
      </x:c>
    </x:row>
    <x:row r="16" ht="27" customHeight="1">
      <x:c r="A16" s="2" t="str">
        <x:v>筑波大学</x:v>
      </x:c>
      <x:c r="B16" s="44" t="n">
        <x:f>COUNTIF('项目专攻清单'!$B$5:$B$155,A16)</x:f>
        <x:v>2</x:v>
      </x:c>
      <x:c r="C16" s="44" t="n">
        <x:f>COUNTIFS('项目专攻清单'!$B$5:$B$155,A16,'项目专攻清单'!$H$5:$H$155,"精确到专攻/项目")</x:f>
        <x:v>2</x:v>
      </x:c>
      <x:c r="D16" s="44" t="n">
        <x:f>COUNTIFS('项目专攻清单'!$B$5:$B$155,A16,'项目专攻清单'!$H$5:$H$155,"仅上位层级合计")</x:f>
        <x:v>0</x:v>
      </x:c>
      <x:c r="E16" s="44" t="n">
        <x:f>COUNTIFS('项目专攻清单'!$B$5:$B$155,A16,'项目专攻清单'!$H$5:$H$155,"未找到公开统计")</x:f>
        <x:v>0</x:v>
      </x:c>
      <x:c r="F16" s="46" t="n">
        <x:f>IF(B16=0,"",C16/B16)</x:f>
        <x:v>1</x:v>
      </x:c>
      <x:c r="G16" s="46" t="n">
        <x:f>IF(B16=0,"",(C16+D16)/B16)</x:f>
        <x:v>1</x:v>
      </x:c>
      <x:c r="H16" s="48" t="n">
        <x:f>COUNTIF('历年报录数据'!$A$5:$A$507,A16)</x:f>
        <x:v>10</x:v>
      </x:c>
    </x:row>
    <x:row r="17" ht="27" customHeight="1">
      <x:c r="A17" s="2" t="str">
        <x:v>電気通信大学</x:v>
      </x:c>
      <x:c r="B17" s="44" t="n">
        <x:f>COUNTIF('项目专攻清单'!$B$5:$B$155,A17)</x:f>
        <x:v>4</x:v>
      </x:c>
      <x:c r="C17" s="44" t="n">
        <x:f>COUNTIFS('项目专攻清单'!$B$5:$B$155,A17,'项目专攻清单'!$H$5:$H$155,"精确到专攻/项目")</x:f>
        <x:v>4</x:v>
      </x:c>
      <x:c r="D17" s="44" t="n">
        <x:f>COUNTIFS('项目专攻清单'!$B$5:$B$155,A17,'项目专攻清单'!$H$5:$H$155,"仅上位层级合计")</x:f>
        <x:v>0</x:v>
      </x:c>
      <x:c r="E17" s="44" t="n">
        <x:f>COUNTIFS('项目专攻清单'!$B$5:$B$155,A17,'项目专攻清单'!$H$5:$H$155,"未找到公开统计")</x:f>
        <x:v>0</x:v>
      </x:c>
      <x:c r="F17" s="46" t="n">
        <x:f>IF(B17=0,"",C17/B17)</x:f>
        <x:v>1</x:v>
      </x:c>
      <x:c r="G17" s="46" t="n">
        <x:f>IF(B17=0,"",(C17+D17)/B17)</x:f>
        <x:v>1</x:v>
      </x:c>
      <x:c r="H17" s="48" t="n">
        <x:f>COUNTIF('历年报录数据'!$A$5:$A$507,A17)</x:f>
        <x:v>61</x:v>
      </x:c>
    </x:row>
    <x:row r="18" ht="27" customHeight="1">
      <x:c r="A18" s="2" t="str">
        <x:v>広島大学</x:v>
      </x:c>
      <x:c r="B18" s="44" t="n">
        <x:f>COUNTIF('项目专攻清单'!$B$5:$B$155,A18)</x:f>
        <x:v>4</x:v>
      </x:c>
      <x:c r="C18" s="44" t="n">
        <x:f>COUNTIFS('项目专攻清单'!$B$5:$B$155,A18,'项目专攻清单'!$H$5:$H$155,"精确到专攻/项目")</x:f>
        <x:v>4</x:v>
      </x:c>
      <x:c r="D18" s="44" t="n">
        <x:f>COUNTIFS('项目专攻清单'!$B$5:$B$155,A18,'项目专攻清单'!$H$5:$H$155,"仅上位层级合计")</x:f>
        <x:v>0</x:v>
      </x:c>
      <x:c r="E18" s="44" t="n">
        <x:f>COUNTIFS('项目专攻清单'!$B$5:$B$155,A18,'项目专攻清单'!$H$5:$H$155,"未找到公开统计")</x:f>
        <x:v>0</x:v>
      </x:c>
      <x:c r="F18" s="46" t="n">
        <x:f>IF(B18=0,"",C18/B18)</x:f>
        <x:v>1</x:v>
      </x:c>
      <x:c r="G18" s="46" t="n">
        <x:f>IF(B18=0,"",(C18+D18)/B18)</x:f>
        <x:v>1</x:v>
      </x:c>
      <x:c r="H18" s="48" t="n">
        <x:f>COUNTIF('历年报录数据'!$A$5:$A$507,A18)</x:f>
        <x:v>28</x:v>
      </x:c>
    </x:row>
    <x:row r="19" ht="27" customHeight="1">
      <x:c r="A19" s="2" t="str">
        <x:v>東京農工大学</x:v>
      </x:c>
      <x:c r="B19" s="44" t="n">
        <x:f>COUNTIF('项目专攻清单'!$B$5:$B$155,A19)</x:f>
        <x:v>2</x:v>
      </x:c>
      <x:c r="C19" s="44" t="n">
        <x:f>COUNTIFS('项目专攻清单'!$B$5:$B$155,A19,'项目专攻清单'!$H$5:$H$155,"精确到专攻/项目")</x:f>
        <x:v>1</x:v>
      </x:c>
      <x:c r="D19" s="44" t="n">
        <x:f>COUNTIFS('项目专攻清单'!$B$5:$B$155,A19,'项目专攻清单'!$H$5:$H$155,"仅上位层级合计")</x:f>
        <x:v>1</x:v>
      </x:c>
      <x:c r="E19" s="44" t="n">
        <x:f>COUNTIFS('项目专攻清单'!$B$5:$B$155,A19,'项目专攻清单'!$H$5:$H$155,"未找到公开统计")</x:f>
        <x:v>0</x:v>
      </x:c>
      <x:c r="F19" s="46" t="n">
        <x:f>IF(B19=0,"",C19/B19)</x:f>
        <x:v>0.5</x:v>
      </x:c>
      <x:c r="G19" s="46" t="n">
        <x:f>IF(B19=0,"",(C19+D19)/B19)</x:f>
        <x:v>1</x:v>
      </x:c>
      <x:c r="H19" s="48" t="n">
        <x:f>COUNTIF('历年报录数据'!$A$5:$A$507,A19)</x:f>
        <x:v>4</x:v>
      </x:c>
    </x:row>
    <x:row r="20" ht="27" customHeight="1">
      <x:c r="A20" s="2" t="str">
        <x:v>法政大学</x:v>
      </x:c>
      <x:c r="B20" s="44" t="n">
        <x:f>COUNTIF('项目专攻清单'!$B$5:$B$155,A20)</x:f>
        <x:v>1</x:v>
      </x:c>
      <x:c r="C20" s="44" t="n">
        <x:f>COUNTIFS('项目专攻清单'!$B$5:$B$155,A20,'项目专攻清单'!$H$5:$H$155,"精确到专攻/项目")</x:f>
        <x:v>0</x:v>
      </x:c>
      <x:c r="D20" s="44" t="n">
        <x:f>COUNTIFS('项目专攻清单'!$B$5:$B$155,A20,'项目专攻清单'!$H$5:$H$155,"仅上位层级合计")</x:f>
        <x:v>0</x:v>
      </x:c>
      <x:c r="E20" s="44" t="n">
        <x:f>COUNTIFS('项目专攻清单'!$B$5:$B$155,A20,'项目专攻清单'!$H$5:$H$155,"未找到公开统计")</x:f>
        <x:v>1</x:v>
      </x:c>
      <x:c r="F20" s="46" t="n">
        <x:f>IF(B20=0,"",C20/B20)</x:f>
        <x:v>0</x:v>
      </x:c>
      <x:c r="G20" s="46" t="n">
        <x:f>IF(B20=0,"",(C20+D20)/B20)</x:f>
        <x:v>0</x:v>
      </x:c>
      <x:c r="H20" s="48" t="n">
        <x:f>COUNTIF('历年报录数据'!$A$5:$A$507,A20)</x:f>
        <x:v>0</x:v>
      </x:c>
    </x:row>
    <x:row r="21" ht="27" customHeight="1">
      <x:c r="A21" s="2" t="str">
        <x:v>金沢大学</x:v>
      </x:c>
      <x:c r="B21" s="44" t="n">
        <x:f>COUNTIF('项目专攻清单'!$B$5:$B$155,A21)</x:f>
        <x:v>1</x:v>
      </x:c>
      <x:c r="C21" s="44" t="n">
        <x:f>COUNTIFS('项目专攻清单'!$B$5:$B$155,A21,'项目专攻清单'!$H$5:$H$155,"精确到专攻/项目")</x:f>
        <x:v>0</x:v>
      </x:c>
      <x:c r="D21" s="44" t="n">
        <x:f>COUNTIFS('项目专攻清单'!$B$5:$B$155,A21,'项目专攻清单'!$H$5:$H$155,"仅上位层级合计")</x:f>
        <x:v>0</x:v>
      </x:c>
      <x:c r="E21" s="44" t="n">
        <x:f>COUNTIFS('项目专攻清单'!$B$5:$B$155,A21,'项目专攻清单'!$H$5:$H$155,"未找到公开统计")</x:f>
        <x:v>1</x:v>
      </x:c>
      <x:c r="F21" s="46" t="n">
        <x:f>IF(B21=0,"",C21/B21)</x:f>
        <x:v>0</x:v>
      </x:c>
      <x:c r="G21" s="46" t="n">
        <x:f>IF(B21=0,"",(C21+D21)/B21)</x:f>
        <x:v>0</x:v>
      </x:c>
      <x:c r="H21" s="48" t="n">
        <x:f>COUNTIF('历年报录数据'!$A$5:$A$507,A21)</x:f>
        <x:v>0</x:v>
      </x:c>
    </x:row>
    <x:row r="22" ht="27" customHeight="1">
      <x:c r="A22" s="2" t="str">
        <x:v>埼玉大学</x:v>
      </x:c>
      <x:c r="B22" s="44" t="n">
        <x:f>COUNTIF('项目专攻清单'!$B$5:$B$155,A22)</x:f>
        <x:v>1</x:v>
      </x:c>
      <x:c r="C22" s="44" t="n">
        <x:f>COUNTIFS('项目专攻清单'!$B$5:$B$155,A22,'项目专攻清单'!$H$5:$H$155,"精确到专攻/项目")</x:f>
        <x:v>0</x:v>
      </x:c>
      <x:c r="D22" s="44" t="n">
        <x:f>COUNTIFS('项目专攻清单'!$B$5:$B$155,A22,'项目专攻清单'!$H$5:$H$155,"仅上位层级合计")</x:f>
        <x:v>0</x:v>
      </x:c>
      <x:c r="E22" s="44" t="n">
        <x:f>COUNTIFS('项目专攻清单'!$B$5:$B$155,A22,'项目专攻清单'!$H$5:$H$155,"未找到公开统计")</x:f>
        <x:v>1</x:v>
      </x:c>
      <x:c r="F22" s="46" t="n">
        <x:f>IF(B22=0,"",C22/B22)</x:f>
        <x:v>0</x:v>
      </x:c>
      <x:c r="G22" s="46" t="n">
        <x:f>IF(B22=0,"",(C22+D22)/B22)</x:f>
        <x:v>0</x:v>
      </x:c>
      <x:c r="H22" s="48" t="n">
        <x:f>COUNTIF('历年报录数据'!$A$5:$A$507,A22)</x:f>
        <x:v>0</x:v>
      </x:c>
    </x:row>
    <x:row r="23" ht="27" customHeight="1">
      <x:c r="A23" s="2" t="str">
        <x:v>明治大学</x:v>
      </x:c>
      <x:c r="B23" s="44" t="n">
        <x:f>COUNTIF('项目专攻清单'!$B$5:$B$155,A23)</x:f>
        <x:v>1</x:v>
      </x:c>
      <x:c r="C23" s="44" t="n">
        <x:f>COUNTIFS('项目专攻清单'!$B$5:$B$155,A23,'项目专攻清单'!$H$5:$H$155,"精确到专攻/项目")</x:f>
        <x:v>1</x:v>
      </x:c>
      <x:c r="D23" s="44" t="n">
        <x:f>COUNTIFS('项目专攻清单'!$B$5:$B$155,A23,'项目专攻清单'!$H$5:$H$155,"仅上位层级合计")</x:f>
        <x:v>0</x:v>
      </x:c>
      <x:c r="E23" s="44" t="n">
        <x:f>COUNTIFS('项目专攻清单'!$B$5:$B$155,A23,'项目专攻清单'!$H$5:$H$155,"未找到公开统计")</x:f>
        <x:v>0</x:v>
      </x:c>
      <x:c r="F23" s="46" t="n">
        <x:f>IF(B23=0,"",C23/B23)</x:f>
        <x:v>1</x:v>
      </x:c>
      <x:c r="G23" s="46" t="n">
        <x:f>IF(B23=0,"",(C23+D23)/B23)</x:f>
        <x:v>1</x:v>
      </x:c>
      <x:c r="H23" s="48" t="n">
        <x:f>COUNTIF('历年报录数据'!$A$5:$A$507,A23)</x:f>
        <x:v>4</x:v>
      </x:c>
    </x:row>
    <x:row r="24" ht="27" customHeight="1">
      <x:c r="A24" s="2" t="str">
        <x:v>名古屋工業大学</x:v>
      </x:c>
      <x:c r="B24" s="44" t="n">
        <x:f>COUNTIF('项目专攻清单'!$B$5:$B$155,A24)</x:f>
        <x:v>1</x:v>
      </x:c>
      <x:c r="C24" s="44" t="n">
        <x:f>COUNTIFS('项目专攻清单'!$B$5:$B$155,A24,'项目专攻清单'!$H$5:$H$155,"精确到专攻/项目")</x:f>
        <x:v>1</x:v>
      </x:c>
      <x:c r="D24" s="44" t="n">
        <x:f>COUNTIFS('项目专攻清单'!$B$5:$B$155,A24,'项目专攻清单'!$H$5:$H$155,"仅上位层级合计")</x:f>
        <x:v>0</x:v>
      </x:c>
      <x:c r="E24" s="44" t="n">
        <x:f>COUNTIFS('项目专攻清单'!$B$5:$B$155,A24,'项目专攻清单'!$H$5:$H$155,"未找到公开统计")</x:f>
        <x:v>0</x:v>
      </x:c>
      <x:c r="F24" s="46" t="n">
        <x:f>IF(B24=0,"",C24/B24)</x:f>
        <x:v>1</x:v>
      </x:c>
      <x:c r="G24" s="46" t="n">
        <x:f>IF(B24=0,"",(C24+D24)/B24)</x:f>
        <x:v>1</x:v>
      </x:c>
      <x:c r="H24" s="48" t="n">
        <x:f>COUNTIF('历年报录数据'!$A$5:$A$507,A24)</x:f>
        <x:v>2</x:v>
      </x:c>
    </x:row>
    <x:row r="25" ht="27" customHeight="1">
      <x:c r="A25" s="2" t="str">
        <x:v>山口大学</x:v>
      </x:c>
      <x:c r="B25" s="44" t="n">
        <x:f>COUNTIF('项目专攻清单'!$B$5:$B$155,A25)</x:f>
        <x:v>2</x:v>
      </x:c>
      <x:c r="C25" s="44" t="n">
        <x:f>COUNTIFS('项目专攻清单'!$B$5:$B$155,A25,'项目专攻清单'!$H$5:$H$155,"精确到专攻/项目")</x:f>
        <x:v>0</x:v>
      </x:c>
      <x:c r="D25" s="44" t="n">
        <x:f>COUNTIFS('项目专攻清单'!$B$5:$B$155,A25,'项目专攻清单'!$H$5:$H$155,"仅上位层级合计")</x:f>
        <x:v>2</x:v>
      </x:c>
      <x:c r="E25" s="44" t="n">
        <x:f>COUNTIFS('项目专攻清单'!$B$5:$B$155,A25,'项目专攻清单'!$H$5:$H$155,"未找到公开统计")</x:f>
        <x:v>0</x:v>
      </x:c>
      <x:c r="F25" s="46" t="n">
        <x:f>IF(B25=0,"",C25/B25)</x:f>
        <x:v>0</x:v>
      </x:c>
      <x:c r="G25" s="46" t="n">
        <x:f>IF(B25=0,"",(C25+D25)/B25)</x:f>
        <x:v>1</x:v>
      </x:c>
      <x:c r="H25" s="48" t="n">
        <x:f>COUNTIF('历年报录数据'!$A$5:$A$507,A25)</x:f>
        <x:v>1</x:v>
      </x:c>
    </x:row>
    <x:row r="26" ht="27" customHeight="1">
      <x:c r="A26" s="2" t="str">
        <x:v>新潟大学</x:v>
      </x:c>
      <x:c r="B26" s="44" t="n">
        <x:f>COUNTIF('项目专攻清单'!$B$5:$B$155,A26)</x:f>
        <x:v>2</x:v>
      </x:c>
      <x:c r="C26" s="44" t="n">
        <x:f>COUNTIFS('项目专攻清单'!$B$5:$B$155,A26,'项目专攻清单'!$H$5:$H$155,"精确到专攻/项目")</x:f>
        <x:v>0</x:v>
      </x:c>
      <x:c r="D26" s="44" t="n">
        <x:f>COUNTIFS('项目专攻清单'!$B$5:$B$155,A26,'项目专攻清单'!$H$5:$H$155,"仅上位层级合计")</x:f>
        <x:v>2</x:v>
      </x:c>
      <x:c r="E26" s="44" t="n">
        <x:f>COUNTIFS('项目专攻清单'!$B$5:$B$155,A26,'项目专攻清单'!$H$5:$H$155,"未找到公开统计")</x:f>
        <x:v>0</x:v>
      </x:c>
      <x:c r="F26" s="46" t="n">
        <x:f>IF(B26=0,"",C26/B26)</x:f>
        <x:v>0</x:v>
      </x:c>
      <x:c r="G26" s="46" t="n">
        <x:f>IF(B26=0,"",(C26+D26)/B26)</x:f>
        <x:v>1</x:v>
      </x:c>
      <x:c r="H26" s="48" t="n">
        <x:f>COUNTIF('历年报录数据'!$A$5:$A$507,A26)</x:f>
        <x:v>2</x:v>
      </x:c>
    </x:row>
    <x:row r="27" ht="27" customHeight="1">
      <x:c r="A27" s="2" t="str">
        <x:v>一橋大学</x:v>
      </x:c>
      <x:c r="B27" s="44" t="n">
        <x:f>COUNTIF('项目专攻清单'!$B$5:$B$155,A27)</x:f>
        <x:v>1</x:v>
      </x:c>
      <x:c r="C27" s="44" t="n">
        <x:f>COUNTIFS('项目专攻清单'!$B$5:$B$155,A27,'项目专攻清单'!$H$5:$H$155,"精确到专攻/项目")</x:f>
        <x:v>1</x:v>
      </x:c>
      <x:c r="D27" s="44" t="n">
        <x:f>COUNTIFS('项目专攻清单'!$B$5:$B$155,A27,'项目专攻清单'!$H$5:$H$155,"仅上位层级合计")</x:f>
        <x:v>0</x:v>
      </x:c>
      <x:c r="E27" s="44" t="n">
        <x:f>COUNTIFS('项目专攻清单'!$B$5:$B$155,A27,'项目专攻清单'!$H$5:$H$155,"未找到公开统计")</x:f>
        <x:v>0</x:v>
      </x:c>
      <x:c r="F27" s="46" t="n">
        <x:f>IF(B27=0,"",C27/B27)</x:f>
        <x:v>1</x:v>
      </x:c>
      <x:c r="G27" s="46" t="n">
        <x:f>IF(B27=0,"",(C27+D27)/B27)</x:f>
        <x:v>1</x:v>
      </x:c>
      <x:c r="H27" s="48" t="n">
        <x:f>COUNTIF('历年报录数据'!$A$5:$A$507,A27)</x:f>
        <x:v>9</x:v>
      </x:c>
    </x:row>
    <x:row r="28" ht="27" customHeight="1">
      <x:c r="A28" s="2" t="str">
        <x:v>公立はこだて未来大学</x:v>
      </x:c>
      <x:c r="B28" s="44" t="n">
        <x:f>COUNTIF('项目专攻清单'!$B$5:$B$155,A28)</x:f>
        <x:v>1</x:v>
      </x:c>
      <x:c r="C28" s="44" t="n">
        <x:f>COUNTIFS('项目专攻清单'!$B$5:$B$155,A28,'项目专攻清单'!$H$5:$H$155,"精确到专攻/项目")</x:f>
        <x:v>0</x:v>
      </x:c>
      <x:c r="D28" s="44" t="n">
        <x:f>COUNTIFS('项目专攻清单'!$B$5:$B$155,A28,'项目专攻清单'!$H$5:$H$155,"仅上位层级合计")</x:f>
        <x:v>1</x:v>
      </x:c>
      <x:c r="E28" s="44" t="n">
        <x:f>COUNTIFS('项目专攻清单'!$B$5:$B$155,A28,'项目专攻清单'!$H$5:$H$155,"未找到公开统计")</x:f>
        <x:v>0</x:v>
      </x:c>
      <x:c r="F28" s="46" t="n">
        <x:f>IF(B28=0,"",C28/B28)</x:f>
        <x:v>0</x:v>
      </x:c>
      <x:c r="G28" s="46" t="n">
        <x:f>IF(B28=0,"",(C28+D28)/B28)</x:f>
        <x:v>1</x:v>
      </x:c>
      <x:c r="H28" s="48" t="n">
        <x:f>COUNTIF('历年报录数据'!$A$5:$A$507,A28)</x:f>
        <x:v>10</x:v>
      </x:c>
    </x:row>
    <x:row r="29" ht="27" customHeight="1">
      <x:c r="A29" s="2" t="str">
        <x:v>大阪公立大学</x:v>
      </x:c>
      <x:c r="B29" s="44" t="n">
        <x:f>COUNTIF('项目专攻清单'!$B$5:$B$155,A29)</x:f>
        <x:v>2</x:v>
      </x:c>
      <x:c r="C29" s="44" t="n">
        <x:f>COUNTIFS('项目专攻清单'!$B$5:$B$155,A29,'项目专攻清单'!$H$5:$H$155,"精确到专攻/项目")</x:f>
        <x:v>2</x:v>
      </x:c>
      <x:c r="D29" s="44" t="n">
        <x:f>COUNTIFS('项目专攻清单'!$B$5:$B$155,A29,'项目专攻清单'!$H$5:$H$155,"仅上位层级合计")</x:f>
        <x:v>0</x:v>
      </x:c>
      <x:c r="E29" s="44" t="n">
        <x:f>COUNTIFS('项目专攻清单'!$B$5:$B$155,A29,'项目专攻清单'!$H$5:$H$155,"未找到公开统计")</x:f>
        <x:v>0</x:v>
      </x:c>
      <x:c r="F29" s="46" t="n">
        <x:f>IF(B29=0,"",C29/B29)</x:f>
        <x:v>1</x:v>
      </x:c>
      <x:c r="G29" s="46" t="n">
        <x:f>IF(B29=0,"",(C29+D29)/B29)</x:f>
        <x:v>1</x:v>
      </x:c>
      <x:c r="H29" s="48" t="n">
        <x:f>COUNTIF('历年报录数据'!$A$5:$A$507,A29)</x:f>
        <x:v>8</x:v>
      </x:c>
    </x:row>
    <x:row r="30" ht="27" customHeight="1">
      <x:c r="A30" s="2" t="str">
        <x:v>愛媛大学</x:v>
      </x:c>
      <x:c r="B30" s="44" t="n">
        <x:f>COUNTIF('项目专攻清单'!$B$5:$B$155,A30)</x:f>
        <x:v>1</x:v>
      </x:c>
      <x:c r="C30" s="44" t="n">
        <x:f>COUNTIFS('项目专攻清单'!$B$5:$B$155,A30,'项目专攻清单'!$H$5:$H$155,"精确到专攻/项目")</x:f>
        <x:v>1</x:v>
      </x:c>
      <x:c r="D30" s="44" t="n">
        <x:f>COUNTIFS('项目专攻清单'!$B$5:$B$155,A30,'项目专攻清单'!$H$5:$H$155,"仅上位层级合计")</x:f>
        <x:v>0</x:v>
      </x:c>
      <x:c r="E30" s="44" t="n">
        <x:f>COUNTIFS('项目专攻清单'!$B$5:$B$155,A30,'项目专攻清单'!$H$5:$H$155,"未找到公开统计")</x:f>
        <x:v>0</x:v>
      </x:c>
      <x:c r="F30" s="46" t="n">
        <x:f>IF(B30=0,"",C30/B30)</x:f>
        <x:v>1</x:v>
      </x:c>
      <x:c r="G30" s="46" t="n">
        <x:f>IF(B30=0,"",(C30+D30)/B30)</x:f>
        <x:v>1</x:v>
      </x:c>
      <x:c r="H30" s="48" t="n">
        <x:f>COUNTIF('历年报录数据'!$A$5:$A$507,A30)</x:f>
        <x:v>1</x:v>
      </x:c>
    </x:row>
    <x:row r="31" ht="27" customHeight="1">
      <x:c r="A31" s="2" t="str">
        <x:v>琉球大学</x:v>
      </x:c>
      <x:c r="B31" s="44" t="n">
        <x:f>COUNTIF('项目专攻清单'!$B$5:$B$155,A31)</x:f>
        <x:v>1</x:v>
      </x:c>
      <x:c r="C31" s="44" t="n">
        <x:f>COUNTIFS('项目专攻清单'!$B$5:$B$155,A31,'项目专攻清单'!$H$5:$H$155,"精确到专攻/项目")</x:f>
        <x:v>0</x:v>
      </x:c>
      <x:c r="D31" s="44" t="n">
        <x:f>COUNTIFS('项目专攻清单'!$B$5:$B$155,A31,'项目专攻清单'!$H$5:$H$155,"仅上位层级合计")</x:f>
        <x:v>1</x:v>
      </x:c>
      <x:c r="E31" s="44" t="n">
        <x:f>COUNTIFS('项目专攻清单'!$B$5:$B$155,A31,'项目专攻清单'!$H$5:$H$155,"未找到公开统计")</x:f>
        <x:v>0</x:v>
      </x:c>
      <x:c r="F31" s="46" t="n">
        <x:f>IF(B31=0,"",C31/B31)</x:f>
        <x:v>0</x:v>
      </x:c>
      <x:c r="G31" s="46" t="n">
        <x:f>IF(B31=0,"",(C31+D31)/B31)</x:f>
        <x:v>1</x:v>
      </x:c>
      <x:c r="H31" s="48" t="n">
        <x:f>COUNTIF('历年报录数据'!$A$5:$A$507,A31)</x:f>
        <x:v>5</x:v>
      </x:c>
    </x:row>
  </x:sheetData>
  <x:mergeCells>
    <x:mergeCell ref="A1:H1"/>
    <x:mergeCell ref="A2:H2"/>
  </x:mergeCells>
  <x:conditionalFormatting sqref="F5:G31">
    <x:cfRule type="dataBar" priority="1">
      <x:dataBar>
        <x:cfvo type="min"/>
        <x:cfvo type="max"/>
        <x:color rgb="FF2A9D8F"/>
      </x:dataBar>
      <x:extLst>
        <x:ext xmlns:x14="http://schemas.microsoft.com/office/spreadsheetml/2009/9/main" uri="{B025F937-C7B1-47D3-B67F-A62EFF666E3E}">
          <x14:id>{19785013-87FC-4470-6695-9EA4DD373BB3}</x14:id>
        </x:ext>
      </x:extLst>
    </x:cfRule>
  </x:conditionalFormatting>
  <x:pageMargins left="0.7" right="0.7" top="0.75" bottom="0.75" header="0.3" footer="0.3"/>
  <x:tableParts count="1">
    <x:tablePart xmlns:r="http://schemas.openxmlformats.org/officeDocument/2006/relationships" r:id="Raa0e887225cb4865"/>
  </x:tableParts>
  <x:extLst>
    <x:ext xmlns:x14="http://schemas.microsoft.com/office/spreadsheetml/2009/9/main" xmlns:xm="http://schemas.microsoft.com/office/excel/2006/main" uri="{78C0D931-6437-407d-A8EE-F0AAD7539E65}">
      <x14:conditionalFormattings>
        <x14:conditionalFormatting>
          <x14:cfRule type="dataBar" priority="1" id="{19785013-87FC-4470-6695-9EA4DD373BB3}">
            <x14:dataBar gradient="1">
              <x14:cfvo type="min"/>
              <x14:cfvo type="max"/>
              <x14:fillColor rgb="FF2A9D8F"/>
            </x14:dataBar>
          </x14:cfRule>
          <xm:sqref>F5:G31</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7" hidden="0" customWidth="1"/>
    <x:col min="2" max="2" width="11" hidden="0" customWidth="1"/>
    <x:col min="3" max="3" width="10" hidden="0" customWidth="1"/>
    <x:col min="4" max="4" width="52" hidden="0" customWidth="1"/>
    <x:col min="5" max="5" width="58" hidden="0" customWidth="1"/>
    <x:col min="6" max="6" width="30" hidden="0" customWidth="1"/>
    <x:col min="7" max="7" width="52" hidden="0" customWidth="1"/>
    <x:col min="8" max="8" width="14" hidden="0" customWidth="1"/>
  </x:cols>
  <x:sheetData>
    <x:row r="1" ht="34" customHeight="1">
      <x:c r="A1" s="4" t="str">
        <x:v>证据来源清单</x:v>
      </x:c>
      <x:c r="B1" s="4"/>
      <x:c r="C1" s="4"/>
      <x:c r="D1" s="4"/>
      <x:c r="E1" s="4"/>
      <x:c r="F1" s="4"/>
      <x:c r="G1" s="4"/>
      <x:c r="H1" s="4"/>
    </x:row>
    <x:row r="2" ht="25" customHeight="1">
      <x:c r="A2" s="6" t="str">
        <x:v>官方PDF/网页与民间补充统一列出；主数据表每行仍保留原始URL和证据定位。 </x:v>
      </x:c>
      <x:c r="B2" s="6"/>
      <x:c r="C2" s="6"/>
      <x:c r="D2" s="6"/>
      <x:c r="E2" s="6"/>
      <x:c r="F2" s="6"/>
      <x:c r="G2" s="6"/>
      <x:c r="H2" s="6"/>
    </x:row>
    <x:row r="3">
      <x:c r="A3" s="2"/>
      <x:c r="B3" s="2"/>
      <x:c r="C3" s="2"/>
      <x:c r="D3" s="2"/>
      <x:c r="E3" s="2"/>
      <x:c r="F3" s="2"/>
      <x:c r="G3" s="2"/>
      <x:c r="H3" s="2"/>
    </x:row>
    <x:row r="4" ht="32" customHeight="1">
      <x:c r="A4" s="33" t="str">
        <x:v>编号</x:v>
      </x:c>
      <x:c r="B4" s="33" t="str">
        <x:v>类型</x:v>
      </x:c>
      <x:c r="C4" s="33" t="str">
        <x:v>可信度</x:v>
      </x:c>
      <x:c r="D4" s="33" t="str">
        <x:v>来源标题</x:v>
      </x:c>
      <x:c r="E4" s="33" t="str">
        <x:v>URL</x:v>
      </x:c>
      <x:c r="F4" s="33" t="str">
        <x:v>关联大学</x:v>
      </x:c>
      <x:c r="G4" s="33" t="str">
        <x:v>说明</x:v>
      </x:c>
      <x:c r="H4" s="33" t="str">
        <x:v>最近核查</x:v>
      </x:c>
    </x:row>
    <x:row r="5" ht="42" customHeight="1">
      <x:c r="A5" s="2" t="n">
        <x:v>1</x:v>
      </x:c>
      <x:c r="B5" s="2" t="str">
        <x:v>官方</x:v>
      </x:c>
      <x:c r="C5" s="2" t="str">
        <x:v>高</x:v>
      </x:c>
      <x:c r="D5" s="27" t="str">
        <x:v>2022年4月入学 大学院情報理工学研究科（IE）入学者選抜状況</x:v>
      </x:c>
      <x:c r="E5" s="27" t="str">
        <x:v>https://www.uec.ac.jp/education/graduate/admission/pdf/ie2022.pdf</x:v>
      </x:c>
      <x:c r="F5" s="27" t="str">
        <x:v>電気通信大学</x:v>
      </x:c>
      <x:c r="G5" s="27" t="str">
        <x:v>専攻別の公式値。社会人入試の募集人員は「若干名」のため capacity=null。</x:v>
      </x:c>
      <x:c r="H5" s="21" t="str">
        <x:v>2026-08-28</x:v>
      </x:c>
    </x:row>
    <x:row r="6" ht="42" customHeight="1">
      <x:c r="A6" s="2" t="n">
        <x:v>2</x:v>
      </x:c>
      <x:c r="B6" s="2" t="str">
        <x:v>官方</x:v>
      </x:c>
      <x:c r="C6" s="2" t="str">
        <x:v>高</x:v>
      </x:c>
      <x:c r="D6" s="27" t="str">
        <x:v>2022年4月入学及び2021年9月入学 東京工業大学大学院修士課程・専門職学位課程入学試験結果</x:v>
      </x:c>
      <x:c r="E6" s="27" t="str">
        <x:v>https://admissions.isct.ac.jp/plugins/cms/component_download_file.php?contentsDataId=&amp;contentsId=&amp;fileName=2022-record-master&amp;key=43bb683af1f294642c21703b15823643.pdf&amp;pageId=3284&amp;prevId=&amp;type=1</x:v>
      </x:c>
      <x:c r="F6" s="27" t="str">
        <x:v>東京科学大学（旧・東京工業大学）</x:v>
      </x:c>
      <x:c r="G6" s="27" t="str">
        <x:v>学院合計ではなく、当該「系」の行。</x:v>
      </x:c>
      <x:c r="H6" s="21" t="str">
        <x:v>2026-08-28</x:v>
      </x:c>
    </x:row>
    <x:row r="7" ht="42" customHeight="1">
      <x:c r="A7" s="2" t="n">
        <x:v>3</x:v>
      </x:c>
      <x:c r="B7" s="2" t="str">
        <x:v>官方</x:v>
      </x:c>
      <x:c r="C7" s="2" t="str">
        <x:v>高</x:v>
      </x:c>
      <x:c r="D7" s="27" t="str">
        <x:v>2022年度九州大学大学院経済学府修士課程 入学試験合格者</x:v>
      </x:c>
      <x:c r="E7" s="27" t="str">
        <x:v>https://www.econ.kyushu-u.ac.jp/wp-content/uploads/2021/10/955be57cfd6609b1ebecbef99b04d371.pdf</x:v>
      </x:c>
      <x:c r="F7" s="27" t="str">
        <x:v>九州大学</x:v>
      </x:c>
      <x:c r="G7" s="27" t="str">
        <x:v>经济工学专攻的类别别合格者数。</x:v>
      </x:c>
      <x:c r="H7" s="21" t="str">
        <x:v>2026-08-28</x:v>
      </x:c>
    </x:row>
    <x:row r="8" ht="42" customHeight="1">
      <x:c r="A8" s="2" t="n">
        <x:v>4</x:v>
      </x:c>
      <x:c r="B8" s="2" t="str">
        <x:v>官方</x:v>
      </x:c>
      <x:c r="C8" s="2" t="str">
        <x:v>高</x:v>
      </x:c>
      <x:c r="D8" s="27" t="str">
        <x:v>2022年度入学試験結果</x:v>
      </x:c>
      <x:c r="E8" s="27" t="str">
        <x:v>https://www.t.u-tokyo.ac.jp/hubfs/graduate/2022/0407/001/2022_kekka_J.pdf</x:v>
      </x:c>
      <x:c r="F8" s="27" t="str">
        <x:v>東京大学</x:v>
      </x:c>
      <x:c r="G8" s="27" t="str">
        <x:v>専攻単位。括弧内の外国人等内数は合計に含まれる。</x:v>
      </x:c>
      <x:c r="H8" s="21" t="str">
        <x:v>2026-08-28</x:v>
      </x:c>
    </x:row>
    <x:row r="9" ht="42" customHeight="1">
      <x:c r="A9" s="2" t="n">
        <x:v>5</x:v>
      </x:c>
      <x:c r="B9" s="2" t="str">
        <x:v>官方</x:v>
      </x:c>
      <x:c r="C9" s="2" t="str">
        <x:v>高</x:v>
      </x:c>
      <x:c r="D9" s="27" t="str">
        <x:v>2023年4月入学 大学院情報理工学研究科（IE）入学者選抜状況</x:v>
      </x:c>
      <x:c r="E9" s="27" t="str">
        <x:v>https://www.uec.ac.jp/education/graduate/admission/pdf/ie2023.pdf</x:v>
      </x:c>
      <x:c r="F9" s="27" t="str">
        <x:v>電気通信大学</x:v>
      </x:c>
      <x:c r="G9" s="27" t="str">
        <x:v>専攻別の公式値。社会人入試の募集人員は「若干名」のため capacity=null。</x:v>
      </x:c>
      <x:c r="H9" s="21" t="str">
        <x:v>2026-08-28</x:v>
      </x:c>
    </x:row>
    <x:row r="10" ht="42" customHeight="1">
      <x:c r="A10" s="2" t="n">
        <x:v>6</x:v>
      </x:c>
      <x:c r="B10" s="2" t="str">
        <x:v>官方</x:v>
      </x:c>
      <x:c r="C10" s="2" t="str">
        <x:v>高</x:v>
      </x:c>
      <x:c r="D10" s="27" t="str">
        <x:v>2023年4月入学及び2022年9月入学 東京工業大学大学院修士課程・専門職学位課程入学試験結果</x:v>
      </x:c>
      <x:c r="E10" s="27" t="str">
        <x:v>https://admissions.isct.ac.jp/plugins/cms/component_download_file.php?contentsDataId=&amp;contentsId=&amp;fileName=2023-record-master&amp;key=c8b346e6ebcd7e97a3ed00de3bfcbb7b.pdf&amp;pageId=3284&amp;prevId=&amp;type=1</x:v>
      </x:c>
      <x:c r="F10" s="27" t="str">
        <x:v>東京科学大学（旧・東京工業大学）</x:v>
      </x:c>
      <x:c r="G10" s="27" t="str">
        <x:v>学院合計ではなく、当該「系」の行。</x:v>
      </x:c>
      <x:c r="H10" s="21" t="str">
        <x:v>2026-08-28</x:v>
      </x:c>
    </x:row>
    <x:row r="11" ht="42" customHeight="1">
      <x:c r="A11" s="2" t="n">
        <x:v>7</x:v>
      </x:c>
      <x:c r="B11" s="2" t="str">
        <x:v>官方</x:v>
      </x:c>
      <x:c r="C11" s="2" t="str">
        <x:v>高</x:v>
      </x:c>
      <x:c r="D11" s="27" t="str">
        <x:v>2023年度実施大学院入試 博士前期課程 2024年4月入学試験（2023年8月・2024年2月実施）</x:v>
      </x:c>
      <x:c r="E11" s="27" t="str">
        <x:v>https://www.i.nagoya-u.ac.jp/wp-content/uploads/2018/05/da881abcfca5e794e2fcc279de2acd16.pdf</x:v>
      </x:c>
      <x:c r="F11" s="27" t="str">
        <x:v>名古屋大学</x:v>
      </x:c>
      <x:c r="G11" s="27" t="str">
        <x:v>専攻単位の精确値。</x:v>
      </x:c>
      <x:c r="H11" s="21" t="str">
        <x:v>2026-08-28</x:v>
      </x:c>
    </x:row>
    <x:row r="12" ht="42" customHeight="1">
      <x:c r="A12" s="2" t="n">
        <x:v>8</x:v>
      </x:c>
      <x:c r="B12" s="2" t="str">
        <x:v>官方</x:v>
      </x:c>
      <x:c r="C12" s="2" t="str">
        <x:v>高</x:v>
      </x:c>
      <x:c r="D12" s="27" t="str">
        <x:v>2023年度入学試験結果</x:v>
      </x:c>
      <x:c r="E12" s="27" t="str">
        <x:v>https://www.t.u-tokyo.ac.jp/hubfs/2023_kekka_J.pdf</x:v>
      </x:c>
      <x:c r="F12" s="27" t="str">
        <x:v>東京大学</x:v>
      </x:c>
      <x:c r="G12" s="27" t="str">
        <x:v>専攻単位。括弧内の外国人等内数は合計に含まれる。</x:v>
      </x:c>
      <x:c r="H12" s="21" t="str">
        <x:v>2026-08-28</x:v>
      </x:c>
    </x:row>
    <x:row r="13" ht="42" customHeight="1">
      <x:c r="A13" s="2" t="n">
        <x:v>9</x:v>
      </x:c>
      <x:c r="B13" s="2" t="str">
        <x:v>官方</x:v>
      </x:c>
      <x:c r="C13" s="2" t="str">
        <x:v>高</x:v>
      </x:c>
      <x:c r="D13" s="27" t="str">
        <x:v>2024年4月入学 大学院情報理工学研究科（IE）入学者選抜状況</x:v>
      </x:c>
      <x:c r="E13" s="27" t="str">
        <x:v>https://www.uec.ac.jp/education/graduate/admission/pdf/ie2024.pdf</x:v>
      </x:c>
      <x:c r="F13" s="27" t="str">
        <x:v>電気通信大学</x:v>
      </x:c>
      <x:c r="G13" s="27" t="str">
        <x:v>専攻別の公式値。社会人入試の募集人員は「若干名」のため capacity=null。</x:v>
      </x:c>
      <x:c r="H13" s="21" t="str">
        <x:v>2026-08-28</x:v>
      </x:c>
    </x:row>
    <x:row r="14" ht="42" customHeight="1">
      <x:c r="A14" s="2" t="n">
        <x:v>10</x:v>
      </x:c>
      <x:c r="B14" s="2" t="str">
        <x:v>官方</x:v>
      </x:c>
      <x:c r="C14" s="2" t="str">
        <x:v>高</x:v>
      </x:c>
      <x:c r="D14" s="27" t="str">
        <x:v>2024年4月入学及び2023年9月入学 東京工業大学大学院修士課程・専門職学位課程入学試験結果</x:v>
      </x:c>
      <x:c r="E14" s="27" t="str">
        <x:v>https://admissions.isct.ac.jp/plugins/cms/component_download_file.php?contentsDataId=&amp;contentsId=&amp;fileName=2024_record_master&amp;key=8d378f7061bc18ecfeb418efcbf2c515.pdf&amp;pageId=3284&amp;prevId=&amp;type=1</x:v>
      </x:c>
      <x:c r="F14" s="27" t="str">
        <x:v>東京科学大学（旧・東京工業大学）</x:v>
      </x:c>
      <x:c r="G14" s="27" t="str">
        <x:v>学院合計ではなく、当該「系」の行。</x:v>
      </x:c>
      <x:c r="H14" s="21" t="str">
        <x:v>2026-08-28</x:v>
      </x:c>
    </x:row>
    <x:row r="15" ht="42" customHeight="1">
      <x:c r="A15" s="2" t="n">
        <x:v>11</x:v>
      </x:c>
      <x:c r="B15" s="2" t="str">
        <x:v>官方</x:v>
      </x:c>
      <x:c r="C15" s="2" t="str">
        <x:v>高</x:v>
      </x:c>
      <x:c r="D15" s="27" t="str">
        <x:v>2024年度 大学院入学状況（2024年4月入学）</x:v>
      </x:c>
      <x:c r="E15" s="27" t="str">
        <x:v>https://www.osaka-u.ac.jp/++api++/ja/admissions/files/202404_daigakuin.pdf/@@download/file?expand=translations</x:v>
      </x:c>
      <x:c r="F15" s="27" t="str">
        <x:v>大阪大学</x:v>
      </x:c>
      <x:c r="G15" s="27" t="str">
        <x:v>研究科合計。個別専攻・講座・入試区分には配分不可。</x:v>
      </x:c>
      <x:c r="H15" s="21" t="str">
        <x:v>2026-08-28</x:v>
      </x:c>
    </x:row>
    <x:row r="16" ht="42" customHeight="1">
      <x:c r="A16" s="2" t="n">
        <x:v>12</x:v>
      </x:c>
      <x:c r="B16" s="2" t="str">
        <x:v>官方</x:v>
      </x:c>
      <x:c r="C16" s="2" t="str">
        <x:v>高</x:v>
      </x:c>
      <x:c r="D16" s="27" t="str">
        <x:v>2024年度実施大学院入試 博士前期課程 2025年4月入学試験（2024年8月・2025年2月実施）</x:v>
      </x:c>
      <x:c r="E16" s="27" t="str">
        <x:v>https://www.i.nagoya-u.ac.jp/wp-content/uploads/2018/05/05a0dfb6802945e0bf3e85afa4e246ba.pdf</x:v>
      </x:c>
      <x:c r="F16" s="27" t="str">
        <x:v>名古屋大学</x:v>
      </x:c>
      <x:c r="G16" s="27" t="str">
        <x:v>専攻単位の精确値。</x:v>
      </x:c>
      <x:c r="H16" s="21" t="str">
        <x:v>2026-08-28</x:v>
      </x:c>
    </x:row>
    <x:row r="17" ht="42" customHeight="1">
      <x:c r="A17" s="2" t="n">
        <x:v>13</x:v>
      </x:c>
      <x:c r="B17" s="2" t="str">
        <x:v>官方</x:v>
      </x:c>
      <x:c r="C17" s="2" t="str">
        <x:v>高</x:v>
      </x:c>
      <x:c r="D17" s="27" t="str">
        <x:v>2024年度入学試験結果</x:v>
      </x:c>
      <x:c r="E17" s="27" t="str">
        <x:v>https://www.t.u-tokyo.ac.jp/hubfs/2024_kekka_J.pdf</x:v>
      </x:c>
      <x:c r="F17" s="27" t="str">
        <x:v>東京大学</x:v>
      </x:c>
      <x:c r="G17" s="27" t="str">
        <x:v>専攻単位。括弧内の外国人等内数は合計に含まれる。</x:v>
      </x:c>
      <x:c r="H17" s="21" t="str">
        <x:v>2026-08-28</x:v>
      </x:c>
    </x:row>
    <x:row r="18" ht="42" customHeight="1">
      <x:c r="A18" s="2" t="n">
        <x:v>14</x:v>
      </x:c>
      <x:c r="B18" s="2" t="str">
        <x:v>官方</x:v>
      </x:c>
      <x:c r="C18" s="2" t="str">
        <x:v>高</x:v>
      </x:c>
      <x:c r="D18" s="27" t="str">
        <x:v>2025年4月入学 大学院情報理工学研究科（IE）入学者選抜状況</x:v>
      </x:c>
      <x:c r="E18" s="27" t="str">
        <x:v>https://www.uec.ac.jp/education/graduate/admission/pdf/ie2025.pdf</x:v>
      </x:c>
      <x:c r="F18" s="27" t="str">
        <x:v>電気通信大学</x:v>
      </x:c>
      <x:c r="G18" s="27" t="str">
        <x:v>専攻別の公式値。社会人入試の募集人員は「若干名」のため capacity=null。</x:v>
      </x:c>
      <x:c r="H18" s="21" t="str">
        <x:v>2026-08-28</x:v>
      </x:c>
    </x:row>
    <x:row r="19" ht="42" customHeight="1">
      <x:c r="A19" s="2" t="n">
        <x:v>15</x:v>
      </x:c>
      <x:c r="B19" s="2" t="str">
        <x:v>官方</x:v>
      </x:c>
      <x:c r="C19" s="2" t="str">
        <x:v>高</x:v>
      </x:c>
      <x:c r="D19" s="27" t="str">
        <x:v>2025年4月入学及び2024年9月入学 東京科学大学大学院修士課程・専門職学位課程入学試験結果</x:v>
      </x:c>
      <x:c r="E19" s="27" t="str">
        <x:v>https://admissions.isct.ac.jp/plugins/cms/component_download_file.php?contentsDataId=&amp;contentsId=&amp;fileName=2025_record_master&amp;key=ba0f61bd956e12e9d0a3006c2c3231b3.pdf&amp;pageId=3284&amp;prevId=&amp;type=1</x:v>
      </x:c>
      <x:c r="F19" s="27" t="str">
        <x:v>東京科学大学（旧・東京工業大学）</x:v>
      </x:c>
      <x:c r="G19" s="27" t="str">
        <x:v>学院合計ではなく、当該「系」の行。</x:v>
      </x:c>
      <x:c r="H19" s="21" t="str">
        <x:v>2026-08-28</x:v>
      </x:c>
    </x:row>
    <x:row r="20" ht="42" customHeight="1">
      <x:c r="A20" s="2" t="n">
        <x:v>16</x:v>
      </x:c>
      <x:c r="B20" s="2" t="str">
        <x:v>官方</x:v>
      </x:c>
      <x:c r="C20" s="2" t="str">
        <x:v>高</x:v>
      </x:c>
      <x:c r="D20" s="27" t="str">
        <x:v>2025年度4月期入学 修士課程夏期入学試験 合格者発表</x:v>
      </x:c>
      <x:c r="E20" s="27" t="str">
        <x:v>https://www.i.kyoto-u.ac.jp/assets/pdf/admission/pass/20240816_summer_m_ja_f9K7.pdf</x:v>
      </x:c>
      <x:c r="F20" s="27" t="str">
        <x:v>京都大学</x:v>
      </x:c>
      <x:c r="G20" s="27" t="str">
        <x:v>コース単位・当該日程のみ。別日程と合算していない。</x:v>
      </x:c>
      <x:c r="H20" s="21" t="str">
        <x:v>2026-08-28</x:v>
      </x:c>
    </x:row>
    <x:row r="21" ht="42" customHeight="1">
      <x:c r="A21" s="2" t="n">
        <x:v>17</x:v>
      </x:c>
      <x:c r="B21" s="2" t="str">
        <x:v>官方</x:v>
      </x:c>
      <x:c r="C21" s="2" t="str">
        <x:v>高</x:v>
      </x:c>
      <x:c r="D21" s="27" t="str">
        <x:v>2025年度4月期入学 修士課程冬期入学試験 合格者発表</x:v>
      </x:c>
      <x:c r="E21" s="27" t="str">
        <x:v>https://www.i.kyoto-u.ac.jp/assets/pdf/admission/pass/20250214_winter_m_ja_3kFs.pdf</x:v>
      </x:c>
      <x:c r="F21" s="27" t="str">
        <x:v>京都大学</x:v>
      </x:c>
      <x:c r="G21" s="27" t="str">
        <x:v>コース単位・当該日程のみ。別日程と合算していない。</x:v>
      </x:c>
      <x:c r="H21" s="21" t="str">
        <x:v>2026-08-28</x:v>
      </x:c>
    </x:row>
    <x:row r="22" ht="42" customHeight="1">
      <x:c r="A22" s="2" t="n">
        <x:v>18</x:v>
      </x:c>
      <x:c r="B22" s="2" t="str">
        <x:v>官方</x:v>
      </x:c>
      <x:c r="C22" s="2" t="str">
        <x:v>高</x:v>
      </x:c>
      <x:c r="D22" s="27" t="str">
        <x:v>2025年度4月期入学 先端数理科学コース修士課程 合格者発表</x:v>
      </x:c>
      <x:c r="E22" s="27" t="str">
        <x:v>https://www.i.kyoto-u.ac.jp/assets/pdf/admission/pass/202407-master-AMS-h3A6.pdf</x:v>
      </x:c>
      <x:c r="F22" s="27" t="str">
        <x:v>京都大学</x:v>
      </x:c>
      <x:c r="G22" s="27" t="str">
        <x:v>コース単位・当該日程のみ。別日程と合算していない。</x:v>
      </x:c>
      <x:c r="H22" s="21" t="str">
        <x:v>2026-08-28</x:v>
      </x:c>
    </x:row>
    <x:row r="23" ht="42" customHeight="1">
      <x:c r="A23" s="2" t="n">
        <x:v>19</x:v>
      </x:c>
      <x:c r="B23" s="2" t="str">
        <x:v>官方</x:v>
      </x:c>
      <x:c r="C23" s="2" t="str">
        <x:v>高</x:v>
      </x:c>
      <x:c r="D23" s="27" t="str">
        <x:v>2025年度実施大学院入試 博士前期課程 2026年4月入学試験（2025年8月・2026年2月実施）</x:v>
      </x:c>
      <x:c r="E23" s="27" t="str">
        <x:v>https://www.i.nagoya-u.ac.jp/wp-content/uploads/2018/05/8b04b626656e26978db091d8329a9e1e.pdf</x:v>
      </x:c>
      <x:c r="F23" s="27" t="str">
        <x:v>名古屋大学</x:v>
      </x:c>
      <x:c r="G23" s="27" t="str">
        <x:v>専攻単位の精确値。</x:v>
      </x:c>
      <x:c r="H23" s="21" t="str">
        <x:v>2026-08-28</x:v>
      </x:c>
    </x:row>
    <x:row r="24" ht="42" customHeight="1">
      <x:c r="A24" s="2" t="n">
        <x:v>20</x:v>
      </x:c>
      <x:c r="B24" s="2" t="str">
        <x:v>官方</x:v>
      </x:c>
      <x:c r="C24" s="2" t="str">
        <x:v>高</x:v>
      </x:c>
      <x:c r="D24" s="27" t="str">
        <x:v>2025年度入学試験結果</x:v>
      </x:c>
      <x:c r="E24" s="27" t="str">
        <x:v>https://www.t.u-tokyo.ac.jp/hubfs/graduate/2025/2025_kekka_J.pdf</x:v>
      </x:c>
      <x:c r="F24" s="27" t="str">
        <x:v>東京大学</x:v>
      </x:c>
      <x:c r="G24" s="27" t="str">
        <x:v>専攻単位。括弧内の外国人等内数は合計に含まれる。</x:v>
      </x:c>
      <x:c r="H24" s="21" t="str">
        <x:v>2026-08-28</x:v>
      </x:c>
    </x:row>
    <x:row r="25" ht="42" customHeight="1">
      <x:c r="A25" s="2" t="n">
        <x:v>21</x:v>
      </x:c>
      <x:c r="B25" s="2" t="str">
        <x:v>官方</x:v>
      </x:c>
      <x:c r="C25" s="2" t="str">
        <x:v>高</x:v>
      </x:c>
      <x:c r="D25" s="27" t="str">
        <x:v>2025年度入学試験実施状況（第Ⅰ期・第Ⅱ期）</x:v>
      </x:c>
      <x:c r="E25" s="27" t="str">
        <x:v>https://www.env.nagoya-u.ac.jp/admission/file/status_2024-2025.pdf</x:v>
      </x:c>
      <x:c r="F25" s="27" t="str">
        <x:v>名古屋大学</x:v>
      </x:c>
      <x:c r="G25" s="27" t="str">
        <x:v>地球環境科学専攻合计；官网未拆分地球惑星科学系与大气水圈科学系。</x:v>
      </x:c>
      <x:c r="H25" s="21" t="str">
        <x:v>2026-08-28</x:v>
      </x:c>
    </x:row>
    <x:row r="26" ht="42" customHeight="1">
      <x:c r="A26" s="2" t="n">
        <x:v>22</x:v>
      </x:c>
      <x:c r="B26" s="2" t="str">
        <x:v>官方</x:v>
      </x:c>
      <x:c r="C26" s="2" t="str">
        <x:v>高</x:v>
      </x:c>
      <x:c r="D26" s="27" t="str">
        <x:v>2026年4月入学 大学院情報理工学研究科（IE）入学者選抜状況</x:v>
      </x:c>
      <x:c r="E26" s="27" t="str">
        <x:v>https://www.uec.ac.jp/education/graduate/admission/pdf/ie2026.pdf</x:v>
      </x:c>
      <x:c r="F26" s="27" t="str">
        <x:v>電気通信大学</x:v>
      </x:c>
      <x:c r="G26" s="27" t="str">
        <x:v>専攻別の公式値。社会人入試の募集人員は「若干名」のため capacity=null。</x:v>
      </x:c>
      <x:c r="H26" s="21" t="str">
        <x:v>2026-08-28</x:v>
      </x:c>
    </x:row>
    <x:row r="27" ht="42" customHeight="1">
      <x:c r="A27" s="2" t="n">
        <x:v>23</x:v>
      </x:c>
      <x:c r="B27" s="2" t="str">
        <x:v>官方</x:v>
      </x:c>
      <x:c r="C27" s="2" t="str">
        <x:v>高</x:v>
      </x:c>
      <x:c r="D27" s="27" t="str">
        <x:v>2026年4月入学及び2025年9月入学 東京科学大学大学院修士課程・専門職学位課程入学試験結果</x:v>
      </x:c>
      <x:c r="E27" s="27" t="str">
        <x:v>https://admissions.isct.ac.jp/plugins/cms/component_download_file.php?contentsDataId=&amp;contentsId=&amp;fileName=2026_record_master&amp;key=88014858637abe4c910ab16731dd187d.pdf&amp;pageId=3284&amp;prevId=&amp;type=1</x:v>
      </x:c>
      <x:c r="F27" s="27" t="str">
        <x:v>東京科学大学（旧・東京工業大学）</x:v>
      </x:c>
      <x:c r="G27" s="27" t="str">
        <x:v>学院合計ではなく、当該「系」の行。</x:v>
      </x:c>
      <x:c r="H27" s="21" t="str">
        <x:v>2026-08-28</x:v>
      </x:c>
    </x:row>
    <x:row r="28" ht="42" customHeight="1">
      <x:c r="A28" s="2" t="n">
        <x:v>24</x:v>
      </x:c>
      <x:c r="B28" s="2" t="str">
        <x:v>官方</x:v>
      </x:c>
      <x:c r="C28" s="2" t="str">
        <x:v>高</x:v>
      </x:c>
      <x:c r="D28" s="27" t="str">
        <x:v>2026年度 九州大学大学院システム情報科学府 修士課程一般選抜学生募集要項</x:v>
      </x:c>
      <x:c r="E28" s="27" t="str">
        <x:v>https://www.isee.kyushu-u.ac.jp/wp/wp-content/uploads/2026mc_general_guidelines.pdf</x:v>
      </x:c>
      <x:c r="F28" s="27" t="str">
        <x:v>九州大学</x:v>
      </x:c>
      <x:c r="G28" s="27" t="str">
        <x:v>募集要项可确认招生定员，但未发现官网公开的该专攻逐年志愿者/合格者统计；未仅凭定员创建报录比行。</x:v>
      </x:c>
      <x:c r="H28" s="21" t="str">
        <x:v>2026-08-28</x:v>
      </x:c>
    </x:row>
    <x:row r="29" ht="42" customHeight="1">
      <x:c r="A29" s="2" t="n">
        <x:v>25</x:v>
      </x:c>
      <x:c r="B29" s="2" t="str">
        <x:v>官方</x:v>
      </x:c>
      <x:c r="C29" s="2" t="str">
        <x:v>高</x:v>
      </x:c>
      <x:c r="D29" s="27" t="str">
        <x:v>2026年度4月期入学 修士課程夏期入学試験 合格者発表</x:v>
      </x:c>
      <x:c r="E29" s="27" t="str">
        <x:v>https://www.i.kyoto-u.ac.jp/assets/pdf/admission/pass/20250815-summer-m-ja-cFN4.pdf</x:v>
      </x:c>
      <x:c r="F29" s="27" t="str">
        <x:v>京都大学</x:v>
      </x:c>
      <x:c r="G29" s="27" t="str">
        <x:v>コース単位・当該日程のみ。別日程と合算していない。</x:v>
      </x:c>
      <x:c r="H29" s="21" t="str">
        <x:v>2026-08-28</x:v>
      </x:c>
    </x:row>
    <x:row r="30" ht="42" customHeight="1">
      <x:c r="A30" s="2" t="n">
        <x:v>26</x:v>
      </x:c>
      <x:c r="B30" s="2" t="str">
        <x:v>官方</x:v>
      </x:c>
      <x:c r="C30" s="2" t="str">
        <x:v>高</x:v>
      </x:c>
      <x:c r="D30" s="27" t="str">
        <x:v>2026年度4月期入学 修士課程学生募集要項</x:v>
      </x:c>
      <x:c r="E30" s="27" t="str">
        <x:v>https://www.i.kyoto-u.ac.jp/assets/pdf/admission/application/master-2026-4.pdf</x:v>
      </x:c>
      <x:c r="F30" s="27" t="str">
        <x:v>京都大学</x:v>
      </x:c>
      <x:c r="G30" s="27" t="str">
        <x:v>コース単位の募集人員。夏期・冬期を通じた定員で、各日程への配分は非掲載。</x:v>
      </x:c>
      <x:c r="H30" s="21" t="str">
        <x:v>2026-08-28</x:v>
      </x:c>
    </x:row>
    <x:row r="31" ht="42" customHeight="1">
      <x:c r="A31" s="2" t="n">
        <x:v>27</x:v>
      </x:c>
      <x:c r="B31" s="2" t="str">
        <x:v>官方</x:v>
      </x:c>
      <x:c r="C31" s="2" t="str">
        <x:v>高</x:v>
      </x:c>
      <x:c r="D31" s="27" t="str">
        <x:v>2026年度入学試験結果</x:v>
      </x:c>
      <x:c r="E31" s="27" t="str">
        <x:v>https://www.t.u-tokyo.ac.jp/hubfs/admission/2026/2026_kekka_J.pdf</x:v>
      </x:c>
      <x:c r="F31" s="27" t="str">
        <x:v>東京大学</x:v>
      </x:c>
      <x:c r="G31" s="27" t="str">
        <x:v>専攻単位。括弧内の外国人等内数は合計に含まれる。</x:v>
      </x:c>
      <x:c r="H31" s="21" t="str">
        <x:v>2026-08-28</x:v>
      </x:c>
    </x:row>
    <x:row r="32" ht="42" customHeight="1">
      <x:c r="A32" s="2" t="n">
        <x:v>28</x:v>
      </x:c>
      <x:c r="B32" s="2" t="str">
        <x:v>官方</x:v>
      </x:c>
      <x:c r="C32" s="2" t="str">
        <x:v>高</x:v>
      </x:c>
      <x:c r="D32" s="27" t="str">
        <x:v>2026年度入学試験実施状況（第Ⅰ期・第Ⅱ期）、2025年度秋入学試験実施状況</x:v>
      </x:c>
      <x:c r="E32" s="27" t="str">
        <x:v>https://www.env.nagoya-u.ac.jp/admission/file/status_2025-2026.pdf</x:v>
      </x:c>
      <x:c r="F32" s="27" t="str">
        <x:v>名古屋大学</x:v>
      </x:c>
      <x:c r="G32" s="27" t="str">
        <x:v>地球環境科学専攻合计；官网未拆分地球惑星科学系与大气水圈科学系。</x:v>
      </x:c>
      <x:c r="H32" s="21" t="str">
        <x:v>2026-08-28</x:v>
      </x:c>
    </x:row>
    <x:row r="33" ht="42" customHeight="1">
      <x:c r="A33" s="2" t="n">
        <x:v>29</x:v>
      </x:c>
      <x:c r="B33" s="2" t="str">
        <x:v>官方</x:v>
      </x:c>
      <x:c r="C33" s="2" t="str">
        <x:v>高</x:v>
      </x:c>
      <x:c r="D33" s="27" t="str">
        <x:v>5 大学院入学状況（神戸大学データ資料集）</x:v>
      </x:c>
      <x:c r="E33" s="27" t="str">
        <x:v>https://www.kobe-u.ac.jp/ja/about/datashiryoushuu/5_2025/</x:v>
      </x:c>
      <x:c r="F33" s="27" t="str">
        <x:v>神戸大学</x:v>
      </x:c>
      <x:c r="G33" s="27" t="str">
        <x:v>研究科合計。Power BIの専攻ディメンションは当該集計値を専攻名ごとに反復表示するため、専攻値としては採用していない。</x:v>
      </x:c>
      <x:c r="H33" s="21" t="str">
        <x:v>2026-08-28</x:v>
      </x:c>
    </x:row>
    <x:row r="34" ht="42" customHeight="1">
      <x:c r="A34" s="2" t="n">
        <x:v>30</x:v>
      </x:c>
      <x:c r="B34" s="2" t="str">
        <x:v>官方</x:v>
      </x:c>
      <x:c r="C34" s="2" t="str">
        <x:v>高</x:v>
      </x:c>
      <x:c r="D34" s="27" t="str">
        <x:v>IST PLAZA 第18号</x:v>
      </x:c>
      <x:c r="E34" s="27" t="str">
        <x:v>https://www.ist.osaka-u.ac.jp/files/overview/publication/publicationIstPlaza_No18.pdf</x:v>
      </x:c>
      <x:c r="F34" s="27" t="str">
        <x:v>大阪大学</x:v>
      </x:c>
      <x:c r="G34" s="27" t="str">
        <x:v>専攻単位。定員と年度中の入学者数。</x:v>
      </x:c>
      <x:c r="H34" s="21" t="str">
        <x:v>2026-08-28</x:v>
      </x:c>
    </x:row>
    <x:row r="35" ht="42" customHeight="1">
      <x:c r="A35" s="2" t="n">
        <x:v>31</x:v>
      </x:c>
      <x:c r="B35" s="2" t="str">
        <x:v>官方</x:v>
      </x:c>
      <x:c r="C35" s="2" t="str">
        <x:v>高</x:v>
      </x:c>
      <x:c r="D35" s="27" t="str">
        <x:v>IST PLAZA 第19号</x:v>
      </x:c>
      <x:c r="E35" s="27" t="str">
        <x:v>https://www.ist.osaka-u.ac.jp/files/overview/publication/publicationIstPlaza_No19.pdf</x:v>
      </x:c>
      <x:c r="F35" s="27" t="str">
        <x:v>大阪大学</x:v>
      </x:c>
      <x:c r="G35" s="27" t="str">
        <x:v>専攻単位。定員と年度中の入学者数。</x:v>
      </x:c>
      <x:c r="H35" s="21" t="str">
        <x:v>2026-08-28</x:v>
      </x:c>
    </x:row>
    <x:row r="36" ht="42" customHeight="1">
      <x:c r="A36" s="2" t="n">
        <x:v>32</x:v>
      </x:c>
      <x:c r="B36" s="2" t="str">
        <x:v>官方</x:v>
      </x:c>
      <x:c r="C36" s="2" t="str">
        <x:v>高</x:v>
      </x:c>
      <x:c r="D36" s="27" t="str">
        <x:v>IST PLAZA 第20号</x:v>
      </x:c>
      <x:c r="E36" s="27" t="str">
        <x:v>https://www.ist.osaka-u.ac.jp/files/overview/publication/publicationIstPlaza_No20.pdf</x:v>
      </x:c>
      <x:c r="F36" s="27" t="str">
        <x:v>大阪大学</x:v>
      </x:c>
      <x:c r="G36" s="27" t="str">
        <x:v>専攻単位。定員と年度中の入学者数。</x:v>
      </x:c>
      <x:c r="H36" s="21" t="str">
        <x:v>2026-08-28</x:v>
      </x:c>
    </x:row>
    <x:row r="37" ht="42" customHeight="1">
      <x:c r="A37" s="2" t="n">
        <x:v>33</x:v>
      </x:c>
      <x:c r="B37" s="2" t="str">
        <x:v>官方</x:v>
      </x:c>
      <x:c r="C37" s="2" t="str">
        <x:v>高</x:v>
      </x:c>
      <x:c r="D37" s="27" t="str">
        <x:v>IST PLAZA 第21号</x:v>
      </x:c>
      <x:c r="E37" s="27" t="str">
        <x:v>https://www.ist.osaka-u.ac.jp/files/overview/publication/publicationIstPlaza_No21.pdf</x:v>
      </x:c>
      <x:c r="F37" s="27" t="str">
        <x:v>大阪大学</x:v>
      </x:c>
      <x:c r="G37" s="27" t="str">
        <x:v>専攻単位。定員と年度中の入学者数。</x:v>
      </x:c>
      <x:c r="H37" s="21" t="str">
        <x:v>2026-08-28</x:v>
      </x:c>
    </x:row>
    <x:row r="38" ht="42" customHeight="1">
      <x:c r="A38" s="2" t="n">
        <x:v>34</x:v>
      </x:c>
      <x:c r="B38" s="2" t="str">
        <x:v>官方</x:v>
      </x:c>
      <x:c r="C38" s="2" t="str">
        <x:v>高</x:v>
      </x:c>
      <x:c r="D38" s="27" t="str">
        <x:v>愛媛大学 令和7年度大学院入学試験実施状況</x:v>
      </x:c>
      <x:c r="E38" s="27" t="str">
        <x:v>https://www.ehime-u.ac.jp/wp-content/uploads/2025/05/R7-3_jitsushijoukyou_daigakuin.pdf</x:v>
      </x:c>
      <x:c r="F38" s="27" t="str">
        <x:v>愛媛大学</x:v>
      </x:c>
      <x:c r="G38" s="27" t="str">
        <x:v>地球科学分野</x:v>
      </x:c>
      <x:c r="H38" s="21" t="str">
        <x:v>2026-08-28</x:v>
      </x:c>
    </x:row>
    <x:row r="39" ht="42" customHeight="1">
      <x:c r="A39" s="2" t="n">
        <x:v>35</x:v>
      </x:c>
      <x:c r="B39" s="2" t="str">
        <x:v>官方</x:v>
      </x:c>
      <x:c r="C39" s="2" t="str">
        <x:v>高</x:v>
      </x:c>
      <x:c r="D39" s="27" t="str">
        <x:v>一橋大学大学院経済学研究科 入試結果 2022–2024</x:v>
      </x:c>
      <x:c r="E39" s="27" t="str">
        <x:v>https://www.econ.hit-u.ac.jp/jpn/download/examinee/graduate_admissions/nyushikekka2022-2024.pdf</x:v>
      </x:c>
      <x:c r="F39" s="27" t="str">
        <x:v>一橋大学</x:v>
      </x:c>
      <x:c r="G39" s="27" t="str">
        <x:v>秋季、春季及本表汇总</x:v>
      </x:c>
      <x:c r="H39" s="21" t="str">
        <x:v>2026-08-28</x:v>
      </x:c>
    </x:row>
    <x:row r="40" ht="42" customHeight="1">
      <x:c r="A40" s="2" t="n">
        <x:v>36</x:v>
      </x:c>
      <x:c r="B40" s="2" t="str">
        <x:v>官方</x:v>
      </x:c>
      <x:c r="C40" s="2" t="str">
        <x:v>高</x:v>
      </x:c>
      <x:c r="D40" s="27" t="str">
        <x:v>過去の入試データ | 名古屋大学情報学部／大学院情報学研究科</x:v>
      </x:c>
      <x:c r="E40" s="27" t="str">
        <x:v>https://www.i.nagoya-u.ac.jp/gs/entranceexamination/past_exam/</x:v>
      </x:c>
      <x:c r="F40" s="27" t="str">
        <x:v>名古屋大学</x:v>
      </x:c>
      <x:c r="G40" s="27" t="str">
        <x:v>第1次・第2次及び年度合計の志願者、受験者、合格者を確認。2025–2026は入学者数も掲載。</x:v>
      </x:c>
      <x:c r="H40" s="21" t="str">
        <x:v>2026-08-28</x:v>
      </x:c>
    </x:row>
    <x:row r="41" ht="42" customHeight="1">
      <x:c r="A41" s="2" t="n">
        <x:v>37</x:v>
      </x:c>
      <x:c r="B41" s="2" t="str">
        <x:v>官方</x:v>
      </x:c>
      <x:c r="C41" s="2" t="str">
        <x:v>高</x:v>
      </x:c>
      <x:c r="D41" s="27" t="str">
        <x:v>過去の入試結果 | 北海道大学公共政策大学院</x:v>
      </x:c>
      <x:c r="E41" s="27" t="str">
        <x:v>https://www.hops.hokudai.ac.jp/admission/past-result/</x:v>
      </x:c>
      <x:c r="F41" s="27" t="str">
        <x:v>北海道大学</x:v>
      </x:c>
      <x:c r="G41" s="27" t="str">
        <x:v>公共政策大学院全体の選考区分別公表値。</x:v>
      </x:c>
      <x:c r="H41" s="21" t="str">
        <x:v>2026-08-28</x:v>
      </x:c>
    </x:row>
    <x:row r="42" ht="42" customHeight="1">
      <x:c r="A42" s="2" t="n">
        <x:v>38</x:v>
      </x:c>
      <x:c r="B42" s="2" t="str">
        <x:v>官方</x:v>
      </x:c>
      <x:c r="C42" s="2" t="str">
        <x:v>高</x:v>
      </x:c>
      <x:c r="D42" s="27" t="str">
        <x:v>学生の確保の見通し等を記載した書類</x:v>
      </x:c>
      <x:c r="E42" s="27" t="str">
        <x:v>https://www.tuat.ac.jp/documents/tuat/outline/jyouhoukoukai/houjin/gakubu/senshin_m_2407_gakusei.pdf</x:v>
      </x:c>
      <x:c r="F42" s="27" t="str">
        <x:v>東京農工大学</x:v>
      </x:c>
      <x:c r="G42" s="27" t="str">
        <x:v>工学府の博士前期課程と専門職学位課程を合算した研究科級統計。共通数学の受験者だけには分解できない。</x:v>
      </x:c>
      <x:c r="H42" s="21" t="str">
        <x:v>2026-08-28</x:v>
      </x:c>
    </x:row>
    <x:row r="43" ht="42" customHeight="1">
      <x:c r="A43" s="2" t="n">
        <x:v>39</x:v>
      </x:c>
      <x:c r="B43" s="2" t="str">
        <x:v>官方</x:v>
      </x:c>
      <x:c r="C43" s="2" t="str">
        <x:v>高</x:v>
      </x:c>
      <x:c r="D43" s="27" t="str">
        <x:v>金沢大学大学院自然科学研究科 入進学情報</x:v>
      </x:c>
      <x:c r="E43" s="27" t="str">
        <x:v>https://www.nst.kanazawa-u.ac.jp/admission/</x:v>
      </x:c>
      <x:c r="F43" s="27" t="str">
        <x:v>金沢大学</x:v>
      </x:c>
      <x:c r="G43" s="27" t="str">
        <x:v>募集要項と合格者発表は確認できるが、対象期間の志願者・受験者・合格者・入学者を一体で示す専攻別統計表は未発見。合格番号公表だけから志願者数は推定していない。</x:v>
      </x:c>
      <x:c r="H43" s="21" t="str">
        <x:v>2026-08-28</x:v>
      </x:c>
    </x:row>
    <x:row r="44" ht="42" customHeight="1">
      <x:c r="A44" s="2" t="n">
        <x:v>40</x:v>
      </x:c>
      <x:c r="B44" s="2" t="str">
        <x:v>官方</x:v>
      </x:c>
      <x:c r="C44" s="2" t="str">
        <x:v>高</x:v>
      </x:c>
      <x:c r="D44" s="27" t="str">
        <x:v>研究科データ</x:v>
      </x:c>
      <x:c r="E44" s="27" t="str">
        <x:v>https://www.i.kyoto-u.ac.jp/admission/data/</x:v>
      </x:c>
      <x:c r="F44" s="27" t="str">
        <x:v>京都大学</x:v>
      </x:c>
      <x:c r="G44" s="27" t="str">
        <x:v>コース単位の当該年度入学者総数。出身大学区分の列を合計した公式掲載値。</x:v>
      </x:c>
      <x:c r="H44" s="21" t="str">
        <x:v>2026-08-28</x:v>
      </x:c>
    </x:row>
    <x:row r="45" ht="42" customHeight="1">
      <x:c r="A45" s="2" t="n">
        <x:v>41</x:v>
      </x:c>
      <x:c r="B45" s="2" t="str">
        <x:v>官方</x:v>
      </x:c>
      <x:c r="C45" s="2" t="str">
        <x:v>高</x:v>
      </x:c>
      <x:c r="D45" s="27" t="str">
        <x:v>公立はこだて未来大学 過去の大学院入試データ</x:v>
      </x:c>
      <x:c r="E45" s="27" t="str">
        <x:v>https://www.fun.ac.jp/admission/admission-graduate-school/result-gsexam-graduate/</x:v>
      </x:c>
      <x:c r="F45" s="27" t="str">
        <x:v>公立はこだて未来大学</x:v>
      </x:c>
      <x:c r="G45" s="27" t="str">
        <x:v>博士前期研究科合计，夏季/冬季</x:v>
      </x:c>
      <x:c r="H45" s="21" t="str">
        <x:v>2026-08-28</x:v>
      </x:c>
    </x:row>
    <x:row r="46" ht="42" customHeight="1">
      <x:c r="A46" s="2" t="n">
        <x:v>42</x:v>
      </x:c>
      <x:c r="B46" s="2" t="str">
        <x:v>官方</x:v>
      </x:c>
      <x:c r="C46" s="2" t="str">
        <x:v>高</x:v>
      </x:c>
      <x:c r="D46" s="27" t="str">
        <x:v>広報・刊行物（先進理工系科学研究科）</x:v>
      </x:c>
      <x:c r="E46" s="27" t="str">
        <x:v>https://www.hiroshima-u.ac.jp/adse/brochure</x:v>
      </x:c>
      <x:c r="F46" s="27" t="str"/>
      <x:c r="G46" s="27" t="str"/>
      <x:c r="H46" s="21" t="str">
        <x:v>2026-08-28</x:v>
      </x:c>
    </x:row>
    <x:row r="47" ht="42" customHeight="1">
      <x:c r="A47" s="2" t="n">
        <x:v>43</x:v>
      </x:c>
      <x:c r="B47" s="2" t="str">
        <x:v>官方</x:v>
      </x:c>
      <x:c r="C47" s="2" t="str">
        <x:v>高</x:v>
      </x:c>
      <x:c r="D47" s="27" t="str">
        <x:v>埼玉大学理工学研究科 博士前期課程</x:v>
      </x:c>
      <x:c r="E47" s="27" t="str">
        <x:v>https://www.saitama-u.ac.jp/rikogaku/admission/exam/masters.html</x:v>
      </x:c>
      <x:c r="F47" s="27" t="str">
        <x:v>埼玉大学</x:v>
      </x:c>
      <x:c r="G47" s="27" t="str">
        <x:v>已核查，未公开统计表</x:v>
      </x:c>
      <x:c r="H47" s="21" t="str">
        <x:v>2026-08-28</x:v>
      </x:c>
    </x:row>
    <x:row r="48" ht="42" customHeight="1">
      <x:c r="A48" s="2" t="n">
        <x:v>44</x:v>
      </x:c>
      <x:c r="B48" s="2" t="str">
        <x:v>官方</x:v>
      </x:c>
      <x:c r="C48" s="2" t="str">
        <x:v>高</x:v>
      </x:c>
      <x:c r="D48" s="27" t="str">
        <x:v>山口大学 入学志願者・入学状況 2025</x:v>
      </x:c>
      <x:c r="E48" s="27" t="str">
        <x:v>https://www.yamaguchi-u.ac.jp/wp-content/uploads/2025/09/25092215.pdf</x:v>
      </x:c>
      <x:c r="F48" s="27" t="str">
        <x:v>山口大学</x:v>
      </x:c>
      <x:c r="G48" s="27" t="str">
        <x:v>人间社会科学研究科合计</x:v>
      </x:c>
      <x:c r="H48" s="21" t="str">
        <x:v>2026-08-28</x:v>
      </x:c>
    </x:row>
    <x:row r="49" ht="42" customHeight="1">
      <x:c r="A49" s="2" t="n">
        <x:v>45</x:v>
      </x:c>
      <x:c r="B49" s="2" t="str">
        <x:v>官方</x:v>
      </x:c>
      <x:c r="C49" s="2" t="str">
        <x:v>高</x:v>
      </x:c>
      <x:c r="D49" s="27" t="str">
        <x:v>志願者・合格者数｜東京大学大学院工学系研究科</x:v>
      </x:c>
      <x:c r="E49" s="27" t="str">
        <x:v>https://www.t.u-tokyo.ac.jp/study-at-utokyo/soe/apply/data</x:v>
      </x:c>
      <x:c r="F49" s="27" t="str">
        <x:v>東京大学</x:v>
      </x:c>
      <x:c r="G49" s="27" t="str">
        <x:v>独立した専攻ではないため専攻統計としては集計しない。</x:v>
      </x:c>
      <x:c r="H49" s="21" t="str">
        <x:v>2026-08-28</x:v>
      </x:c>
    </x:row>
    <x:row r="50" ht="42" customHeight="1">
      <x:c r="A50" s="2" t="n">
        <x:v>46</x:v>
      </x:c>
      <x:c r="B50" s="2" t="str">
        <x:v>官方</x:v>
      </x:c>
      <x:c r="C50" s="2" t="str">
        <x:v>高</x:v>
      </x:c>
      <x:c r="D50" s="27" t="str">
        <x:v>出願状況・合格発表｜京都大学大学院情報学研究科</x:v>
      </x:c>
      <x:c r="E50" s="27" t="str">
        <x:v>https://www.i.kyoto-u.ac.jp/admission/pass/</x:v>
      </x:c>
      <x:c r="F50" s="27" t="str"/>
      <x:c r="G50" s="27" t="str"/>
      <x:c r="H50" s="21" t="str">
        <x:v>2026-08-28</x:v>
      </x:c>
    </x:row>
    <x:row r="51" ht="42" customHeight="1">
      <x:c r="A51" s="2" t="n">
        <x:v>47</x:v>
      </x:c>
      <x:c r="B51" s="2" t="str">
        <x:v>官方</x:v>
      </x:c>
      <x:c r="C51" s="2" t="str">
        <x:v>高</x:v>
      </x:c>
      <x:c r="D51" s="27" t="str">
        <x:v>情報科学院／研究院ニュース</x:v>
      </x:c>
      <x:c r="E51" s="27" t="str">
        <x:v>https://www.ist.hokudai.ac.jp/news/</x:v>
      </x:c>
      <x:c r="F51" s="27" t="str">
        <x:v>北海道大学</x:v>
      </x:c>
      <x:c r="G51" s="27" t="str">
        <x:v>官网只按信息科学专攻整体发布志愿者和合格者，未拆到5课程；已记录专攻合计。</x:v>
      </x:c>
      <x:c r="H51" s="21" t="str">
        <x:v>2026-08-28</x:v>
      </x:c>
    </x:row>
    <x:row r="52" ht="42" customHeight="1">
      <x:c r="A52" s="2" t="n">
        <x:v>48</x:v>
      </x:c>
      <x:c r="B52" s="2" t="str">
        <x:v>官方</x:v>
      </x:c>
      <x:c r="C52" s="2" t="str">
        <x:v>高</x:v>
      </x:c>
      <x:c r="D52" s="27" t="str">
        <x:v>情報理工学系研究科 志願者・合格者・入学者数</x:v>
      </x:c>
      <x:c r="E52" s="27" t="str">
        <x:v>https://www.i.u-tokyo.ac.jp/edu/entra/ay2026data_j.pdf</x:v>
      </x:c>
      <x:c r="F52" s="27" t="str">
        <x:v>東京大学</x:v>
      </x:c>
      <x:c r="G52" s="27" t="str">
        <x:v>専攻単位。各年度は前年10月入学者と当年4月入学者の合計。</x:v>
      </x:c>
      <x:c r="H52" s="21" t="str">
        <x:v>2026-08-28</x:v>
      </x:c>
    </x:row>
    <x:row r="53" ht="42" customHeight="1">
      <x:c r="A53" s="2" t="n">
        <x:v>49</x:v>
      </x:c>
      <x:c r="B53" s="2" t="str">
        <x:v>官方</x:v>
      </x:c>
      <x:c r="C53" s="2" t="str">
        <x:v>高</x:v>
      </x:c>
      <x:c r="D53" s="27" t="str">
        <x:v>新潟大学概要リーフレット 2024</x:v>
      </x:c>
      <x:c r="E53" s="27" t="str">
        <x:v>https://www.niigata-u.ac.jp/wp-content/uploads/2024/07/leaflet2024.pdf</x:v>
      </x:c>
      <x:c r="F53" s="27" t="str">
        <x:v>新潟大学</x:v>
      </x:c>
      <x:c r="G53" s="27" t="str">
        <x:v>自然科学研究科合计</x:v>
      </x:c>
      <x:c r="H53" s="21" t="str">
        <x:v>2026-08-28</x:v>
      </x:c>
    </x:row>
    <x:row r="54" ht="42" customHeight="1">
      <x:c r="A54" s="2" t="n">
        <x:v>50</x:v>
      </x:c>
      <x:c r="B54" s="2" t="str">
        <x:v>官方</x:v>
      </x:c>
      <x:c r="C54" s="2" t="str">
        <x:v>高</x:v>
      </x:c>
      <x:c r="D54" s="27" t="str">
        <x:v>新潟大学概要リーフレット 2025</x:v>
      </x:c>
      <x:c r="E54" s="27" t="str">
        <x:v>https://www.niigata-u.ac.jp/wp-content/uploads/2025/09/leaflet2025_sep.pdf</x:v>
      </x:c>
      <x:c r="F54" s="27" t="str">
        <x:v>新潟大学</x:v>
      </x:c>
      <x:c r="G54" s="27" t="str">
        <x:v>自然科学研究科合计</x:v>
      </x:c>
      <x:c r="H54" s="21" t="str">
        <x:v>2026-08-28</x:v>
      </x:c>
    </x:row>
    <x:row r="55" ht="42" customHeight="1">
      <x:c r="A55" s="2" t="n">
        <x:v>51</x:v>
      </x:c>
      <x:c r="B55" s="2" t="str">
        <x:v>官方</x:v>
      </x:c>
      <x:c r="C55" s="2" t="str">
        <x:v>高</x:v>
      </x:c>
      <x:c r="D55" s="27" t="str">
        <x:v>先進理工系科学研究科 研究科パンフレット2026</x:v>
      </x:c>
      <x:c r="E55" s="27" t="str">
        <x:v>https://archive2.hiroshima-u.ac.jp/adse/brochure2026/index_h5.html</x:v>
      </x:c>
      <x:c r="F55" s="27" t="str">
        <x:v>広島大学</x:v>
      </x:c>
      <x:c r="G55" s="27" t="str">
        <x:v>学位プログラム別の公式値。入学定員は専攻全体483人（うち13人は別研究院活用）としてのみ掲載されるため capacity=null。</x:v>
      </x:c>
      <x:c r="H55" s="21" t="str">
        <x:v>2026-08-28</x:v>
      </x:c>
    </x:row>
    <x:row r="56" ht="42" customHeight="1">
      <x:c r="A56" s="2" t="n">
        <x:v>52</x:v>
      </x:c>
      <x:c r="B56" s="2" t="str">
        <x:v>官方</x:v>
      </x:c>
      <x:c r="C56" s="2" t="str">
        <x:v>高</x:v>
      </x:c>
      <x:c r="D56" s="27" t="str">
        <x:v>組織／役職員 | 北海道大学大学院水産科学研究院・水産科学院・水産学部</x:v>
      </x:c>
      <x:c r="E56" s="27" t="str">
        <x:v>https://www2.fish.hokudai.ac.jp/department-graduate-school/officer.html</x:v>
      </x:c>
      <x:c r="F56" s="27" t="str">
        <x:v>北海道大学</x:v>
      </x:c>
      <x:c r="G56" s="27" t="str">
        <x:v>水産科学院2专攻合计，远大于项目所列海洋环境科学讲座/海洋物理学范围。</x:v>
      </x:c>
      <x:c r="H56" s="21" t="str">
        <x:v>2026-08-28</x:v>
      </x:c>
    </x:row>
    <x:row r="57" ht="42" customHeight="1">
      <x:c r="A57" s="2" t="n">
        <x:v>53</x:v>
      </x:c>
      <x:c r="B57" s="2" t="str">
        <x:v>官方</x:v>
      </x:c>
      <x:c r="C57" s="2" t="str">
        <x:v>高</x:v>
      </x:c>
      <x:c r="D57" s="27" t="str">
        <x:v>大学院学生の入学状況｜東京大学</x:v>
      </x:c>
      <x:c r="E57" s="27" t="str">
        <x:v>https://www.u-tokyo.ac.jp/ja/admissions/adm-data/e02_01.html</x:v>
      </x:c>
      <x:c r="F57" s="27" t="str">
        <x:v>東京大学</x:v>
      </x:c>
      <x:c r="G57" s="27" t="str">
        <x:v>大学本部の研究科別入学状況はあるが、専攻単位へ分解できないため未転記。</x:v>
      </x:c>
      <x:c r="H57" s="21" t="str">
        <x:v>2026-08-28</x:v>
      </x:c>
    </x:row>
    <x:row r="58" ht="42" customHeight="1">
      <x:c r="A58" s="2" t="n">
        <x:v>54</x:v>
      </x:c>
      <x:c r="B58" s="2" t="str">
        <x:v>官方</x:v>
      </x:c>
      <x:c r="C58" s="2" t="str">
        <x:v>高</x:v>
      </x:c>
      <x:c r="D58" s="27" t="str">
        <x:v>大学院学生数・入学状況・就職状況 | 九州大学 理学研究院 理学府 理学部</x:v>
      </x:c>
      <x:c r="E58" s="27" t="str">
        <x:v>https://www.sci.kyushu-u.ac.jp/about/data/graduate.html</x:v>
      </x:c>
      <x:c r="F58" s="27" t="str">
        <x:v>九州大学</x:v>
      </x:c>
      <x:c r="G58" s="27" t="str">
        <x:v>専攻単位の精确値。</x:v>
      </x:c>
      <x:c r="H58" s="21" t="str">
        <x:v>2026-08-28</x:v>
      </x:c>
    </x:row>
    <x:row r="59" ht="42" customHeight="1">
      <x:c r="A59" s="2" t="n">
        <x:v>55</x:v>
      </x:c>
      <x:c r="B59" s="2" t="str">
        <x:v>官方</x:v>
      </x:c>
      <x:c r="C59" s="2" t="str">
        <x:v>高</x:v>
      </x:c>
      <x:c r="D59" s="27" t="str">
        <x:v>大学院情報科学院入学試験実施</x:v>
      </x:c>
      <x:c r="E59" s="27" t="str">
        <x:v>https://www.ist.hokudai.ac.jp/news/n2402.html</x:v>
      </x:c>
      <x:c r="F59" s="27" t="str">
        <x:v>北海道大学</x:v>
      </x:c>
      <x:c r="G59" s="27" t="str">
        <x:v>情報科学専攻全体。项目所列5课程未单独公布。</x:v>
      </x:c>
      <x:c r="H59" s="21" t="str">
        <x:v>2026-08-28</x:v>
      </x:c>
    </x:row>
    <x:row r="60" ht="42" customHeight="1">
      <x:c r="A60" s="2" t="n">
        <x:v>56</x:v>
      </x:c>
      <x:c r="B60" s="2" t="str">
        <x:v>官方</x:v>
      </x:c>
      <x:c r="C60" s="2" t="str">
        <x:v>高</x:v>
      </x:c>
      <x:c r="D60" s="27" t="str">
        <x:v>大学院情報科学院入学試験実施</x:v>
      </x:c>
      <x:c r="E60" s="27" t="str">
        <x:v>https://www.ist.hokudai.ac.jp/news/n2408.html</x:v>
      </x:c>
      <x:c r="F60" s="27" t="str">
        <x:v>北海道大学</x:v>
      </x:c>
      <x:c r="G60" s="27" t="str">
        <x:v>情報科学専攻全体。项目所列5课程未单独公布。</x:v>
      </x:c>
      <x:c r="H60" s="21" t="str">
        <x:v>2026-08-28</x:v>
      </x:c>
    </x:row>
    <x:row r="61" ht="42" customHeight="1">
      <x:c r="A61" s="2" t="n">
        <x:v>57</x:v>
      </x:c>
      <x:c r="B61" s="2" t="str">
        <x:v>官方</x:v>
      </x:c>
      <x:c r="C61" s="2" t="str">
        <x:v>高</x:v>
      </x:c>
      <x:c r="D61" s="27" t="str">
        <x:v>大学院情報科学院入学試験実施</x:v>
      </x:c>
      <x:c r="E61" s="27" t="str">
        <x:v>https://www.ist.hokudai.ac.jp/news/n2503.html</x:v>
      </x:c>
      <x:c r="F61" s="27" t="str">
        <x:v>北海道大学</x:v>
      </x:c>
      <x:c r="G61" s="27" t="str">
        <x:v>情報科学専攻全体。项目所列5课程未单独公布。</x:v>
      </x:c>
      <x:c r="H61" s="21" t="str">
        <x:v>2026-08-28</x:v>
      </x:c>
    </x:row>
    <x:row r="62" ht="42" customHeight="1">
      <x:c r="A62" s="2" t="n">
        <x:v>58</x:v>
      </x:c>
      <x:c r="B62" s="2" t="str">
        <x:v>官方</x:v>
      </x:c>
      <x:c r="C62" s="2" t="str">
        <x:v>高</x:v>
      </x:c>
      <x:c r="D62" s="27" t="str">
        <x:v>大学院情報科学院入学試験実施</x:v>
      </x:c>
      <x:c r="E62" s="27" t="str">
        <x:v>https://www.ist.hokudai.ac.jp/news/n2509.html</x:v>
      </x:c>
      <x:c r="F62" s="27" t="str">
        <x:v>北海道大学</x:v>
      </x:c>
      <x:c r="G62" s="27" t="str">
        <x:v>情報科学専攻全体。项目所列5课程未单独公布。</x:v>
      </x:c>
      <x:c r="H62" s="21" t="str">
        <x:v>2026-08-28</x:v>
      </x:c>
    </x:row>
    <x:row r="63" ht="42" customHeight="1">
      <x:c r="A63" s="2" t="n">
        <x:v>59</x:v>
      </x:c>
      <x:c r="B63" s="2" t="str">
        <x:v>官方</x:v>
      </x:c>
      <x:c r="C63" s="2" t="str">
        <x:v>高</x:v>
      </x:c>
      <x:c r="D63" s="27" t="str">
        <x:v>大学院情報科学院入学試験実施</x:v>
      </x:c>
      <x:c r="E63" s="27" t="str">
        <x:v>https://www.ist.hokudai.ac.jp/news/n2603.html</x:v>
      </x:c>
      <x:c r="F63" s="27" t="str">
        <x:v>北海道大学</x:v>
      </x:c>
      <x:c r="G63" s="27" t="str">
        <x:v>情報科学専攻全体。项目所列5课程未单独公布。</x:v>
      </x:c>
      <x:c r="H63" s="21" t="str">
        <x:v>2026-08-28</x:v>
      </x:c>
    </x:row>
    <x:row r="64" ht="42" customHeight="1">
      <x:c r="A64" s="2" t="n">
        <x:v>60</x:v>
      </x:c>
      <x:c r="B64" s="2" t="str">
        <x:v>官方</x:v>
      </x:c>
      <x:c r="C64" s="2" t="str">
        <x:v>高</x:v>
      </x:c>
      <x:c r="D64" s="27" t="str">
        <x:v>大学院水産科学研究院・水産科学院・水産学部概要2025</x:v>
      </x:c>
      <x:c r="E64" s="27" t="str">
        <x:v>https://www2.fish.hokudai.ac.jp/wp-content/uploads/2025/11/suigaiyo2025_all_202507.pdf</x:v>
      </x:c>
      <x:c r="F64" s="27" t="str">
        <x:v>北海道大学</x:v>
      </x:c>
      <x:c r="G64" s="27" t="str">
        <x:v>水産科学院2专攻合计，远大于项目所列海洋环境科学讲座/海洋物理学范围。</x:v>
      </x:c>
      <x:c r="H64" s="21" t="str">
        <x:v>2026-08-28</x:v>
      </x:c>
    </x:row>
    <x:row r="65" ht="42" customHeight="1">
      <x:c r="A65" s="2" t="n">
        <x:v>61</x:v>
      </x:c>
      <x:c r="B65" s="2" t="str">
        <x:v>官方</x:v>
      </x:c>
      <x:c r="C65" s="2" t="str">
        <x:v>高</x:v>
      </x:c>
      <x:c r="D65" s="27" t="str">
        <x:v>大学院入学・進学試験実施状況 | 名古屋大学大学院理学研究科</x:v>
      </x:c>
      <x:c r="E65" s="27" t="str">
        <x:v>https://www.sci.nagoya-u.ac.jp/admission/past-entry/</x:v>
      </x:c>
      <x:c r="F65" s="27" t="str">
        <x:v>名古屋大学</x:v>
      </x:c>
      <x:c r="G65" s="27" t="str">
        <x:v>理学専攻内の領域単位。项目所列生命理学領域。</x:v>
      </x:c>
      <x:c r="H65" s="21" t="str">
        <x:v>2026-08-28</x:v>
      </x:c>
    </x:row>
    <x:row r="66" ht="42" customHeight="1">
      <x:c r="A66" s="2" t="n">
        <x:v>62</x:v>
      </x:c>
      <x:c r="B66" s="2" t="str">
        <x:v>官方</x:v>
      </x:c>
      <x:c r="C66" s="2" t="str">
        <x:v>高</x:v>
      </x:c>
      <x:c r="D66" s="27" t="str">
        <x:v>大学院入学者選抜状況</x:v>
      </x:c>
      <x:c r="E66" s="27" t="str">
        <x:v>https://www.uec.ac.jp/education/graduate/admission/</x:v>
      </x:c>
      <x:c r="F66" s="27" t="str">
        <x:v>電気通信大学</x:v>
      </x:c>
      <x:c r="G66" s="27" t="str">
        <x:v>一般・推薦・社会人を専攻別に確認。2023年の情報学専攻は二次募集も別記。</x:v>
      </x:c>
      <x:c r="H66" s="21" t="str">
        <x:v>2026-08-28</x:v>
      </x:c>
    </x:row>
    <x:row r="67" ht="42" customHeight="1">
      <x:c r="A67" s="2" t="n">
        <x:v>63</x:v>
      </x:c>
      <x:c r="B67" s="2" t="str">
        <x:v>官方</x:v>
      </x:c>
      <x:c r="C67" s="2" t="str">
        <x:v>高</x:v>
      </x:c>
      <x:c r="D67" s="27" t="str">
        <x:v>大学院入試 | 早稲田大学 理工学術院</x:v>
      </x:c>
      <x:c r="E67" s="27" t="str">
        <x:v>https://www.waseda.jp/fsci/admissions_gs/</x:v>
      </x:c>
      <x:c r="F67" s="27" t="str">
        <x:v>早稲田大学</x:v>
      </x:c>
      <x:c r="G67" s="27" t="str">
        <x:v>官网发布募集要项、考试题和合格者发表，但本次未发现可核验的逐年专攻别志愿者数/合格者数统计表；不从合格编号或在籍人数推算。</x:v>
      </x:c>
      <x:c r="H67" s="21" t="str">
        <x:v>2026-08-28</x:v>
      </x:c>
    </x:row>
    <x:row r="68" ht="42" customHeight="1">
      <x:c r="A68" s="2" t="n">
        <x:v>64</x:v>
      </x:c>
      <x:c r="B68" s="2" t="str">
        <x:v>官方</x:v>
      </x:c>
      <x:c r="C68" s="2" t="str">
        <x:v>高</x:v>
      </x:c>
      <x:c r="D68" s="27" t="str">
        <x:v>大学院入試 | 北海道大学大学院理学院</x:v>
      </x:c>
      <x:c r="E68" s="27" t="str">
        <x:v>https://www2.sci.hokudai.ac.jp/gs/admission</x:v>
      </x:c>
      <x:c r="F68" s="27" t="str">
        <x:v>北海道大学</x:v>
      </x:c>
      <x:c r="G68" s="27" t="str">
        <x:v>未发现官网公开的该专攻逐年志愿者数/合格者数统计。</x:v>
      </x:c>
      <x:c r="H68" s="21" t="str">
        <x:v>2026-08-28</x:v>
      </x:c>
    </x:row>
    <x:row r="69" ht="42" customHeight="1">
      <x:c r="A69" s="2" t="n">
        <x:v>65</x:v>
      </x:c>
      <x:c r="B69" s="2" t="str">
        <x:v>官方</x:v>
      </x:c>
      <x:c r="C69" s="2" t="str">
        <x:v>高</x:v>
      </x:c>
      <x:c r="D69" s="27" t="str">
        <x:v>大学院入試情報｜大阪大学</x:v>
      </x:c>
      <x:c r="E69" s="27" t="str">
        <x:v>https://www.osaka-u.ac.jp/ja/admissions/graduate/ovpj1o</x:v>
      </x:c>
      <x:c r="F69" s="27" t="str"/>
      <x:c r="G69" s="27" t="str"/>
      <x:c r="H69" s="21" t="str">
        <x:v>2026-08-28</x:v>
      </x:c>
    </x:row>
    <x:row r="70" ht="42" customHeight="1">
      <x:c r="A70" s="2" t="n">
        <x:v>66</x:v>
      </x:c>
      <x:c r="B70" s="2" t="str">
        <x:v>官方</x:v>
      </x:c>
      <x:c r="C70" s="2" t="str">
        <x:v>高</x:v>
      </x:c>
      <x:c r="D70" s="27" t="str">
        <x:v>大阪公立大学 2023年度 博士前期課程入試状況</x:v>
      </x:c>
      <x:c r="E70" s="27" t="str">
        <x:v>https://www.omu.ac.jp/admissions/assets/2023M.pdf</x:v>
      </x:c>
      <x:c r="F70" s="27" t="str">
        <x:v>大阪公立大学</x:v>
      </x:c>
      <x:c r="G70" s="27" t="str">
        <x:v>专攻精确；第1次与第2次合计</x:v>
      </x:c>
      <x:c r="H70" s="21" t="str">
        <x:v>2026-08-28</x:v>
      </x:c>
    </x:row>
    <x:row r="71" ht="42" customHeight="1">
      <x:c r="A71" s="2" t="n">
        <x:v>67</x:v>
      </x:c>
      <x:c r="B71" s="2" t="str">
        <x:v>官方</x:v>
      </x:c>
      <x:c r="C71" s="2" t="str">
        <x:v>高</x:v>
      </x:c>
      <x:c r="D71" s="27" t="str">
        <x:v>大阪公立大学 2024年度 博士前期課程入試状況</x:v>
      </x:c>
      <x:c r="E71" s="27" t="str">
        <x:v>https://www.omu.ac.jp/admissions/assets/2024M.pdf</x:v>
      </x:c>
      <x:c r="F71" s="27" t="str">
        <x:v>大阪公立大学</x:v>
      </x:c>
      <x:c r="G71" s="27" t="str">
        <x:v>专攻精确；第1次与第2次合计</x:v>
      </x:c>
      <x:c r="H71" s="21" t="str">
        <x:v>2026-08-28</x:v>
      </x:c>
    </x:row>
    <x:row r="72" ht="42" customHeight="1">
      <x:c r="A72" s="2" t="n">
        <x:v>68</x:v>
      </x:c>
      <x:c r="B72" s="2" t="str">
        <x:v>官方</x:v>
      </x:c>
      <x:c r="C72" s="2" t="str">
        <x:v>高</x:v>
      </x:c>
      <x:c r="D72" s="27" t="str">
        <x:v>大阪公立大学 2025年度 博士前期課程入試状況</x:v>
      </x:c>
      <x:c r="E72" s="27" t="str">
        <x:v>https://www.omu.ac.jp/admissions/assets/01%E3%80%80in_2025M_nyushijoukyou.pdf</x:v>
      </x:c>
      <x:c r="F72" s="27" t="str">
        <x:v>大阪公立大学</x:v>
      </x:c>
      <x:c r="G72" s="27" t="str">
        <x:v>专攻精确；第1次与第2次合计</x:v>
      </x:c>
      <x:c r="H72" s="21" t="str">
        <x:v>2026-08-28</x:v>
      </x:c>
    </x:row>
    <x:row r="73" ht="42" customHeight="1">
      <x:c r="A73" s="2" t="n">
        <x:v>69</x:v>
      </x:c>
      <x:c r="B73" s="2" t="str">
        <x:v>官方</x:v>
      </x:c>
      <x:c r="C73" s="2" t="str">
        <x:v>高</x:v>
      </x:c>
      <x:c r="D73" s="27" t="str">
        <x:v>大阪公立大学 2026年度 博士前期課程入試状況</x:v>
      </x:c>
      <x:c r="E73" s="27" t="str">
        <x:v>https://www.omu.ac.jp/admissions/assets/01%E3%80%80in_2026M_nyushijoukyou.pdf</x:v>
      </x:c>
      <x:c r="F73" s="27" t="str">
        <x:v>大阪公立大学</x:v>
      </x:c>
      <x:c r="G73" s="27" t="str">
        <x:v>专攻精确；第1次与第2次合计</x:v>
      </x:c>
      <x:c r="H73" s="21" t="str">
        <x:v>2026-08-28</x:v>
      </x:c>
    </x:row>
    <x:row r="74" ht="42" customHeight="1">
      <x:c r="A74" s="2" t="n">
        <x:v>70</x:v>
      </x:c>
      <x:c r="B74" s="2" t="str">
        <x:v>官方</x:v>
      </x:c>
      <x:c r="C74" s="2" t="str">
        <x:v>高</x:v>
      </x:c>
      <x:c r="D74" s="27" t="str">
        <x:v>大阪公立大学 過去の入試結果</x:v>
      </x:c>
      <x:c r="E74" s="27" t="str">
        <x:v>https://www.omu.ac.jp/admissions/g/exam_info/past_results/</x:v>
      </x:c>
      <x:c r="F74" s="27" t="str">
        <x:v>大阪公立大学</x:v>
      </x:c>
      <x:c r="G74" s="27" t="str">
        <x:v>2023–2026博士前期课程序列</x:v>
      </x:c>
      <x:c r="H74" s="21" t="str">
        <x:v>2026-08-28</x:v>
      </x:c>
    </x:row>
    <x:row r="75" ht="42" customHeight="1">
      <x:c r="A75" s="2" t="n">
        <x:v>71</x:v>
      </x:c>
      <x:c r="B75" s="2" t="str">
        <x:v>官方</x:v>
      </x:c>
      <x:c r="C75" s="2" t="str">
        <x:v>高</x:v>
      </x:c>
      <x:c r="D75" s="27" t="str">
        <x:v>東北大学大学院理学研究科・理学部 概要2022</x:v>
      </x:c>
      <x:c r="E75" s="27" t="str">
        <x:v>https://www.sci.tohoku.ac.jp/about/pdf/sci-gaiyo2022.pdf</x:v>
      </x:c>
      <x:c r="F75" s="27" t="str">
        <x:v>東北大学</x:v>
      </x:c>
      <x:c r="G75" s="27" t="str">
        <x:v>専攻単位の年度合計。</x:v>
      </x:c>
      <x:c r="H75" s="21" t="str">
        <x:v>2026-08-28</x:v>
      </x:c>
    </x:row>
    <x:row r="76" ht="42" customHeight="1">
      <x:c r="A76" s="2" t="n">
        <x:v>72</x:v>
      </x:c>
      <x:c r="B76" s="2" t="str">
        <x:v>官方</x:v>
      </x:c>
      <x:c r="C76" s="2" t="str">
        <x:v>高</x:v>
      </x:c>
      <x:c r="D76" s="27" t="str">
        <x:v>東北大学大学院理学研究科・理学部 概要2023</x:v>
      </x:c>
      <x:c r="E76" s="27" t="str">
        <x:v>https://www.sci.tohoku.ac.jp/about/pdf/sci-gaiyo2023.pdf</x:v>
      </x:c>
      <x:c r="F76" s="27" t="str">
        <x:v>東北大学</x:v>
      </x:c>
      <x:c r="G76" s="27" t="str">
        <x:v>専攻単位の年度合計。</x:v>
      </x:c>
      <x:c r="H76" s="21" t="str">
        <x:v>2026-08-28</x:v>
      </x:c>
    </x:row>
    <x:row r="77" ht="42" customHeight="1">
      <x:c r="A77" s="2" t="n">
        <x:v>73</x:v>
      </x:c>
      <x:c r="B77" s="2" t="str">
        <x:v>官方</x:v>
      </x:c>
      <x:c r="C77" s="2" t="str">
        <x:v>高</x:v>
      </x:c>
      <x:c r="D77" s="27" t="str">
        <x:v>東北大学大学院理学研究科・理学部 概要2024</x:v>
      </x:c>
      <x:c r="E77" s="27" t="str">
        <x:v>https://www.sci.tohoku.ac.jp/about/pdf/sci-gaiyo2024.pdf</x:v>
      </x:c>
      <x:c r="F77" s="27" t="str">
        <x:v>東北大学</x:v>
      </x:c>
      <x:c r="G77" s="27" t="str">
        <x:v>専攻単位の年度合計。</x:v>
      </x:c>
      <x:c r="H77" s="21" t="str">
        <x:v>2026-08-28</x:v>
      </x:c>
    </x:row>
    <x:row r="78" ht="42" customHeight="1">
      <x:c r="A78" s="2" t="n">
        <x:v>74</x:v>
      </x:c>
      <x:c r="B78" s="2" t="str">
        <x:v>官方</x:v>
      </x:c>
      <x:c r="C78" s="2" t="str">
        <x:v>高</x:v>
      </x:c>
      <x:c r="D78" s="27" t="str">
        <x:v>東北大学大学院理学研究科・理学部 概要2025</x:v>
      </x:c>
      <x:c r="E78" s="27" t="str">
        <x:v>https://www.sci.tohoku.ac.jp/about/pdf/sci-gaiyo2025.pdf</x:v>
      </x:c>
      <x:c r="F78" s="27" t="str">
        <x:v>東北大学</x:v>
      </x:c>
      <x:c r="G78" s="27" t="str">
        <x:v>専攻単位の年度合計。</x:v>
      </x:c>
      <x:c r="H78" s="21" t="str">
        <x:v>2026-08-28</x:v>
      </x:c>
    </x:row>
    <x:row r="79" ht="42" customHeight="1">
      <x:c r="A79" s="2" t="n">
        <x:v>75</x:v>
      </x:c>
      <x:c r="B79" s="2" t="str">
        <x:v>官方</x:v>
      </x:c>
      <x:c r="C79" s="2" t="str">
        <x:v>高</x:v>
      </x:c>
      <x:c r="D79" s="27" t="str">
        <x:v>入学・進学案内｜東京大学大学院情報理工学系研究科</x:v>
      </x:c>
      <x:c r="E79" s="27" t="str">
        <x:v>https://www.i.u-tokyo.ac.jp/edu/entra/</x:v>
      </x:c>
      <x:c r="F79" s="27" t="str">
        <x:v>東京大学</x:v>
      </x:c>
      <x:c r="G79" s="27" t="str">
        <x:v>「共通入試」は独立した専攻ではないため、専攻統計へ割り当てず除外。</x:v>
      </x:c>
      <x:c r="H79" s="21" t="str">
        <x:v>2026-08-28</x:v>
      </x:c>
    </x:row>
    <x:row r="80" ht="42" customHeight="1">
      <x:c r="A80" s="2" t="n">
        <x:v>76</x:v>
      </x:c>
      <x:c r="B80" s="2" t="str">
        <x:v>官方</x:v>
      </x:c>
      <x:c r="C80" s="2" t="str">
        <x:v>高</x:v>
      </x:c>
      <x:c r="D80" s="27" t="str">
        <x:v>入学希望の方へ｜東北大学大学院 環境科学研究科</x:v>
      </x:c>
      <x:c r="E80" s="27" t="str">
        <x:v>https://www.kankyo.tohoku.ac.jp/newstudent/senkouj.html</x:v>
      </x:c>
      <x:c r="F80" s="27" t="str">
        <x:v>東北大学</x:v>
      </x:c>
      <x:c r="G80" s="27" t="str">
        <x:v>専攻横断の入試群単位。研究科または専攻の募集人員は群別に配分されていないためcapacityはnull。</x:v>
      </x:c>
      <x:c r="H80" s="21" t="str">
        <x:v>2026-08-28</x:v>
      </x:c>
    </x:row>
    <x:row r="81" ht="42" customHeight="1">
      <x:c r="A81" s="2" t="n">
        <x:v>77</x:v>
      </x:c>
      <x:c r="B81" s="2" t="str">
        <x:v>官方</x:v>
      </x:c>
      <x:c r="C81" s="2" t="str">
        <x:v>高</x:v>
      </x:c>
      <x:c r="D81" s="27" t="str">
        <x:v>入学試験実施結果</x:v>
      </x:c>
      <x:c r="E81" s="27" t="str">
        <x:v>https://www.tsukuba.ac.jp/admission/graduate-result/</x:v>
      </x:c>
      <x:c r="F81" s="27" t="str">
        <x:v>筑波大学</x:v>
      </x:c>
      <x:c r="G81" s="27" t="str">
        <x:v>博士前期課程の研究群小計として、募集人員・志願者・受験者・合格者・入学者を確認。</x:v>
      </x:c>
      <x:c r="H81" s="21" t="str">
        <x:v>2026-08-28</x:v>
      </x:c>
    </x:row>
    <x:row r="82" ht="42" customHeight="1">
      <x:c r="A82" s="2" t="n">
        <x:v>78</x:v>
      </x:c>
      <x:c r="B82" s="2" t="str">
        <x:v>官方</x:v>
      </x:c>
      <x:c r="C82" s="2" t="str">
        <x:v>高</x:v>
      </x:c>
      <x:c r="D82" s="27" t="str">
        <x:v>入学試験状況 | Science Tokyo 受験生</x:v>
      </x:c>
      <x:c r="E82" s="27" t="str">
        <x:v>https://admissions.isct.ac.jp/ja/013/graduate/data</x:v>
      </x:c>
      <x:c r="F82" s="27" t="str">
        <x:v>東京科学大学（旧・東京工業大学）</x:v>
      </x:c>
      <x:c r="G82" s="27" t="str">
        <x:v>系別の志願者数・合格者数を公式年次PDFで確認。系別定員、受験者数、入学者数は未掲載。</x:v>
      </x:c>
      <x:c r="H82" s="21" t="str">
        <x:v>2026-08-28</x:v>
      </x:c>
    </x:row>
    <x:row r="83" ht="42" customHeight="1">
      <x:c r="A83" s="2" t="n">
        <x:v>79</x:v>
      </x:c>
      <x:c r="B83" s="2" t="str">
        <x:v>官方</x:v>
      </x:c>
      <x:c r="C83" s="2" t="str">
        <x:v>高</x:v>
      </x:c>
      <x:c r="D83" s="27" t="str">
        <x:v>入学者状況｜大阪大学大学院理学研究科</x:v>
      </x:c>
      <x:c r="E83" s="27" t="str">
        <x:v>https://www.sci.osaka-u.ac.jp/ja/outline/basicdata/tbl-new_students/</x:v>
      </x:c>
      <x:c r="F83" s="27" t="str">
        <x:v>大阪大学</x:v>
      </x:c>
      <x:c r="G83" s="27" t="str">
        <x:v>専攻単位。Web表の入学定員・志願者・入学者。</x:v>
      </x:c>
      <x:c r="H83" s="21" t="str">
        <x:v>2026-08-28</x:v>
      </x:c>
    </x:row>
    <x:row r="84" ht="42" customHeight="1">
      <x:c r="A84" s="2" t="n">
        <x:v>80</x:v>
      </x:c>
      <x:c r="B84" s="2" t="str">
        <x:v>官方</x:v>
      </x:c>
      <x:c r="C84" s="2" t="str">
        <x:v>高</x:v>
      </x:c>
      <x:c r="D84" s="27" t="str">
        <x:v>入試について | 名古屋大学大学院 環境学研究科</x:v>
      </x:c>
      <x:c r="E84" s="27" t="str">
        <x:v>https://www.env.nagoya-u.ac.jp/admission/index.html</x:v>
      </x:c>
      <x:c r="F84" s="27" t="str">
        <x:v>名古屋大学</x:v>
      </x:c>
      <x:c r="G84" s="27" t="str">
        <x:v>官网仅公布地球环境科学专攻合计，未拆到两个系；已保留专攻合计行，不能作为单一系数据。</x:v>
      </x:c>
      <x:c r="H84" s="21" t="str">
        <x:v>2026-08-28</x:v>
      </x:c>
    </x:row>
    <x:row r="85" ht="42" customHeight="1">
      <x:c r="A85" s="2" t="n">
        <x:v>81</x:v>
      </x:c>
      <x:c r="B85" s="2" t="str">
        <x:v>官方</x:v>
      </x:c>
      <x:c r="C85" s="2" t="str">
        <x:v>高</x:v>
      </x:c>
      <x:c r="D85" s="27" t="str">
        <x:v>入試案内 | 名古屋大学大学院多元数理科学研究科</x:v>
      </x:c>
      <x:c r="E85" s="27" t="str">
        <x:v>https://www.math.nagoya-u.ac.jp/ja/admission/</x:v>
      </x:c>
      <x:c r="F85" s="27" t="str">
        <x:v>名古屋大学</x:v>
      </x:c>
      <x:c r="G85" s="27" t="str">
        <x:v>未发现官网公开的逐年志愿者数与合格者数统计；不要以在籍人数替代。</x:v>
      </x:c>
      <x:c r="H85" s="21" t="str">
        <x:v>2026-08-28</x:v>
      </x:c>
    </x:row>
    <x:row r="86" ht="42" customHeight="1">
      <x:c r="A86" s="2" t="n">
        <x:v>82</x:v>
      </x:c>
      <x:c r="B86" s="2" t="str">
        <x:v>官方</x:v>
      </x:c>
      <x:c r="C86" s="2" t="str">
        <x:v>高</x:v>
      </x:c>
      <x:c r="D86" s="27" t="str">
        <x:v>入試実施状況について＜修士課程＞</x:v>
      </x:c>
      <x:c r="E86" s="27" t="str">
        <x:v>https://www.k.u-tokyo.ac.jp/assets/files/2026result_mc.pdf</x:v>
      </x:c>
      <x:c r="F86" s="27" t="str">
        <x:v>東京大学</x:v>
      </x:c>
      <x:c r="G86" s="27" t="str">
        <x:v>専攻単位。メディカル情報生命専攻のみ、同一募集人員53の下にある3群の出願者・合格者を合算。</x:v>
      </x:c>
      <x:c r="H86" s="21" t="str">
        <x:v>2026-08-28</x:v>
      </x:c>
    </x:row>
    <x:row r="87" ht="42" customHeight="1">
      <x:c r="A87" s="2" t="n">
        <x:v>83</x:v>
      </x:c>
      <x:c r="B87" s="2" t="str">
        <x:v>官方</x:v>
      </x:c>
      <x:c r="C87" s="2" t="str">
        <x:v>高</x:v>
      </x:c>
      <x:c r="D87" s="27" t="str">
        <x:v>入試情報 | 名古屋大学大学院工学研究科</x:v>
      </x:c>
      <x:c r="E87" s="27" t="str">
        <x:v>https://www.engg.nagoya-u.ac.jp/prospective/</x:v>
      </x:c>
      <x:c r="F87" s="27" t="str">
        <x:v>名古屋大学</x:v>
      </x:c>
      <x:c r="G87" s="27" t="str">
        <x:v>未发现可核对到项目该系的逐年修士入试志愿者数/合格者数。</x:v>
      </x:c>
      <x:c r="H87" s="21" t="str">
        <x:v>2026-08-28</x:v>
      </x:c>
    </x:row>
    <x:row r="88" ht="42" customHeight="1">
      <x:c r="A88" s="2" t="n">
        <x:v>84</x:v>
      </x:c>
      <x:c r="B88" s="2" t="str">
        <x:v>官方</x:v>
      </x:c>
      <x:c r="C88" s="2" t="str">
        <x:v>高</x:v>
      </x:c>
      <x:c r="D88" s="27" t="str">
        <x:v>覆盖核查入口</x:v>
      </x:c>
      <x:c r="E88" s="27" t="str">
        <x:v>https://www.iii.u-tokyo.ac.jp/admissions</x:v>
      </x:c>
      <x:c r="F88" s="27" t="str">
        <x:v>東京大学</x:v>
      </x:c>
      <x:c r="G88" s="27" t="str">
        <x:v>公式募集・合格発表ページを確認したが、コース別の年次数表は未発見。</x:v>
      </x:c>
      <x:c r="H88" s="21" t="str">
        <x:v>2026-08-28</x:v>
      </x:c>
    </x:row>
    <x:row r="89" ht="42" customHeight="1">
      <x:c r="A89" s="2" t="n">
        <x:v>85</x:v>
      </x:c>
      <x:c r="B89" s="2" t="str">
        <x:v>官方</x:v>
      </x:c>
      <x:c r="C89" s="2" t="str">
        <x:v>高</x:v>
      </x:c>
      <x:c r="D89" s="27" t="str">
        <x:v>覆盖核查入口</x:v>
      </x:c>
      <x:c r="E89" s="27" t="str">
        <x:v>https://system.c.u-tokyo.ac.jp/p-graduate/admission.html</x:v>
      </x:c>
      <x:c r="F89" s="27" t="str">
        <x:v>東京大学</x:v>
      </x:c>
      <x:c r="G89" s="27" t="str">
        <x:v>公式入試案内は確認したが、系別の志願者・合格者・入学者年次数表は未発見。</x:v>
      </x:c>
      <x:c r="H89" s="21" t="str">
        <x:v>2026-08-28</x:v>
      </x:c>
    </x:row>
    <x:row r="90" ht="42" customHeight="1">
      <x:c r="A90" s="2" t="n">
        <x:v>86</x:v>
      </x:c>
      <x:c r="B90" s="2" t="str">
        <x:v>官方</x:v>
      </x:c>
      <x:c r="C90" s="2" t="str">
        <x:v>高</x:v>
      </x:c>
      <x:c r="D90" s="27" t="str">
        <x:v>覆盖核查入口</x:v>
      </x:c>
      <x:c r="E90" s="27" t="str">
        <x:v>https://www.sci.kyoto-u.ac.jp/ja/admissions</x:v>
      </x:c>
      <x:c r="F90" s="27" t="str">
        <x:v>京都大学</x:v>
      </x:c>
      <x:c r="G90" s="27" t="str">
        <x:v>公式入試案内・概要資料を確認したが、今回の納期内に列定義まで検証できる専攻別数表を確保できず未収録。</x:v>
      </x:c>
      <x:c r="H90" s="21" t="str">
        <x:v>2026-08-28</x:v>
      </x:c>
    </x:row>
    <x:row r="91" ht="42" customHeight="1">
      <x:c r="A91" s="2" t="n">
        <x:v>87</x:v>
      </x:c>
      <x:c r="B91" s="2" t="str">
        <x:v>官方</x:v>
      </x:c>
      <x:c r="C91" s="2" t="str">
        <x:v>高</x:v>
      </x:c>
      <x:c r="D91" s="27" t="str">
        <x:v>覆盖核查入口</x:v>
      </x:c>
      <x:c r="E91" s="27" t="str">
        <x:v>https://www.gsm.kyoto-u.ac.jp/education/admission/</x:v>
      </x:c>
      <x:c r="F91" s="27" t="str">
        <x:v>京都大学</x:v>
      </x:c>
      <x:c r="G91" s="27" t="str">
        <x:v>公式入試案内を確認したが、年度別の志願者・受験者・合格者・入学者の一貫した公開表は未発見。</x:v>
      </x:c>
      <x:c r="H91" s="21" t="str">
        <x:v>2026-08-28</x:v>
      </x:c>
    </x:row>
    <x:row r="92" ht="42" customHeight="1">
      <x:c r="A92" s="2" t="n">
        <x:v>88</x:v>
      </x:c>
      <x:c r="B92" s="2" t="str">
        <x:v>官方</x:v>
      </x:c>
      <x:c r="C92" s="2" t="str">
        <x:v>高</x:v>
      </x:c>
      <x:c r="D92" s="27" t="str">
        <x:v>覆盖核查入口</x:v>
      </x:c>
      <x:c r="E92" s="27" t="str">
        <x:v>https://www.eng.tohoku.ac.jp/admission/grad/</x:v>
      </x:c>
      <x:c r="F92" s="27" t="str">
        <x:v>東北大学</x:v>
      </x:c>
      <x:c r="G92" s="27" t="str">
        <x:v>公式募集要項・入試案内は確認したが、該当専攻／入試群別の年次実績数表は未発見。</x:v>
      </x:c>
      <x:c r="H92" s="21" t="str">
        <x:v>2026-08-28</x:v>
      </x:c>
    </x:row>
    <x:row r="93" ht="42" customHeight="1">
      <x:c r="A93" s="2" t="n">
        <x:v>89</x:v>
      </x:c>
      <x:c r="B93" s="2" t="str">
        <x:v>官方</x:v>
      </x:c>
      <x:c r="C93" s="2" t="str">
        <x:v>高</x:v>
      </x:c>
      <x:c r="D93" s="27" t="str">
        <x:v>覆盖核查入口</x:v>
      </x:c>
      <x:c r="E93" s="27" t="str">
        <x:v>https://www.is.tohoku.ac.jp/jp/entrance/</x:v>
      </x:c>
      <x:c r="F93" s="27" t="str">
        <x:v>東北大学</x:v>
      </x:c>
      <x:c r="G93" s="27" t="str">
        <x:v>公式入試案内は確認したが、教室／群別の年次実績数表は未発見。</x:v>
      </x:c>
      <x:c r="H93" s="21" t="str">
        <x:v>2026-08-28</x:v>
      </x:c>
    </x:row>
    <x:row r="94" ht="42" customHeight="1">
      <x:c r="A94" s="2" t="n">
        <x:v>90</x:v>
      </x:c>
      <x:c r="B94" s="2" t="str">
        <x:v>官方</x:v>
      </x:c>
      <x:c r="C94" s="2" t="str">
        <x:v>高</x:v>
      </x:c>
      <x:c r="D94" s="27" t="str">
        <x:v>覆盖核查入口</x:v>
      </x:c>
      <x:c r="E94" s="27" t="str">
        <x:v>https://www.bme.tohoku.ac.jp/admission/</x:v>
      </x:c>
      <x:c r="F94" s="27" t="str">
        <x:v>東北大学</x:v>
      </x:c>
      <x:c r="G94" s="27" t="str">
        <x:v>公式入試案内は確認したが、コース別の年次実績数表は未発見。</x:v>
      </x:c>
      <x:c r="H94" s="21" t="str">
        <x:v>2026-08-28</x:v>
      </x:c>
    </x:row>
    <x:row r="95" ht="42" customHeight="1">
      <x:c r="A95" s="2" t="n">
        <x:v>91</x:v>
      </x:c>
      <x:c r="B95" s="2" t="str">
        <x:v>官方</x:v>
      </x:c>
      <x:c r="C95" s="2" t="str">
        <x:v>高</x:v>
      </x:c>
      <x:c r="D95" s="27" t="str">
        <x:v>覆盖核查入口</x:v>
      </x:c>
      <x:c r="E95" s="27" t="str">
        <x:v>https://www.niigata-u.ac.jp/university/about/data/admission/</x:v>
      </x:c>
      <x:c r="F95" s="27" t="str">
        <x:v>新潟大学</x:v>
      </x:c>
      <x:c r="G95" s="27" t="str">
        <x:v>仅自然科学研究科合计；2026年度改组为综合学术研究科。</x:v>
      </x:c>
      <x:c r="H95" s="21" t="str">
        <x:v>2026-08-28</x:v>
      </x:c>
    </x:row>
    <x:row r="96" ht="42" customHeight="1">
      <x:c r="A96" s="2" t="n">
        <x:v>92</x:v>
      </x:c>
      <x:c r="B96" s="2" t="str">
        <x:v>官方</x:v>
      </x:c>
      <x:c r="C96" s="2" t="str">
        <x:v>高</x:v>
      </x:c>
      <x:c r="D96" s="27" t="str">
        <x:v>法政大学大学院 理工学研究科</x:v>
      </x:c>
      <x:c r="E96" s="27" t="str">
        <x:v>https://www.hosei.ac.jp/gs/riko/</x:v>
      </x:c>
      <x:c r="F96" s="27" t="str">
        <x:v>法政大学</x:v>
      </x:c>
      <x:c r="G96" s="27" t="str">
        <x:v>公式研究科ページ・過去問題ページを確認したが、対象年の専攻/系別志願者・受験者・合格者・入学者統計は未発見。</x:v>
      </x:c>
      <x:c r="H96" s="21" t="str">
        <x:v>2026-08-28</x:v>
      </x:c>
    </x:row>
    <x:row r="97" ht="42" customHeight="1">
      <x:c r="A97" s="2" t="n">
        <x:v>93</x:v>
      </x:c>
      <x:c r="B97" s="2" t="str">
        <x:v>官方</x:v>
      </x:c>
      <x:c r="C97" s="2" t="str">
        <x:v>高</x:v>
      </x:c>
      <x:c r="D97" s="27" t="str">
        <x:v>名古屋工業大学 入学者選抜状況</x:v>
      </x:c>
      <x:c r="E97" s="27" t="str">
        <x:v>https://www.nitech.ac.jp/examination/in/senbatsu.html</x:v>
      </x:c>
      <x:c r="F97" s="27" t="str">
        <x:v>名古屋工業大学</x:v>
      </x:c>
      <x:c r="G97" s="27" t="str">
        <x:v>各年度PDF索引</x:v>
      </x:c>
      <x:c r="H97" s="21" t="str">
        <x:v>2026-08-28</x:v>
      </x:c>
    </x:row>
    <x:row r="98" ht="42" customHeight="1">
      <x:c r="A98" s="2" t="n">
        <x:v>94</x:v>
      </x:c>
      <x:c r="B98" s="2" t="str">
        <x:v>官方</x:v>
      </x:c>
      <x:c r="C98" s="2" t="str">
        <x:v>高</x:v>
      </x:c>
      <x:c r="D98" s="27" t="str">
        <x:v>明治大学データ集（学生の受け入れ・表3）</x:v>
      </x:c>
      <x:c r="E98" s="27" t="str">
        <x:v>https://www.meiji.ac.jp/koho/about/hyouka/self/2023/mkmht00000273v1a-att/2023data.pdf</x:v>
      </x:c>
      <x:c r="F98" s="27" t="str">
        <x:v>明治大学</x:v>
      </x:c>
      <x:c r="G98" s="27" t="str">
        <x:v>现象数理学专攻2022–2024</x:v>
      </x:c>
      <x:c r="H98" s="21" t="str">
        <x:v>2026-08-28</x:v>
      </x:c>
    </x:row>
    <x:row r="99" ht="42" customHeight="1">
      <x:c r="A99" s="2" t="n">
        <x:v>95</x:v>
      </x:c>
      <x:c r="B99" s="2" t="str">
        <x:v>官方</x:v>
      </x:c>
      <x:c r="C99" s="2" t="str">
        <x:v>高</x:v>
      </x:c>
      <x:c r="D99" s="27" t="str">
        <x:v>明治大学大学院ガイドブック 入試状況</x:v>
      </x:c>
      <x:c r="E99" s="27" t="str">
        <x:v>https://www.meiji.ac.jp/dai_in/guidebook/6t5h7p00003fm092-att/6t5h7p00003fm0k9.pdf</x:v>
      </x:c>
      <x:c r="F99" s="27" t="str">
        <x:v>明治大学</x:v>
      </x:c>
      <x:c r="G99" s="27" t="str">
        <x:v>现象数理学专攻2025</x:v>
      </x:c>
      <x:c r="H99" s="21" t="str">
        <x:v>2026-08-28</x:v>
      </x:c>
    </x:row>
    <x:row r="100" ht="42" customHeight="1">
      <x:c r="A100" s="2" t="n">
        <x:v>96</x:v>
      </x:c>
      <x:c r="B100" s="2" t="str">
        <x:v>官方</x:v>
      </x:c>
      <x:c r="C100" s="2" t="str">
        <x:v>高</x:v>
      </x:c>
      <x:c r="D100" s="27" t="str">
        <x:v>琉球大学 大学院（令和4年度）入試統計</x:v>
      </x:c>
      <x:c r="E100" s="27" t="str">
        <x:v>https://www.u-ryukyu.ac.jp/wp-content/uploads/2023/02/R04-daigakuinn-akinyuugaku-221003.pdf</x:v>
      </x:c>
      <x:c r="F100" s="27" t="str">
        <x:v>琉球大学</x:v>
      </x:c>
      <x:c r="G100" s="27" t="str">
        <x:v>专攻合计；物理系与地球环境系未拆分</x:v>
      </x:c>
      <x:c r="H100" s="21" t="str">
        <x:v>2026-08-28</x:v>
      </x:c>
    </x:row>
    <x:row r="101" ht="42" customHeight="1">
      <x:c r="A101" s="2" t="n">
        <x:v>97</x:v>
      </x:c>
      <x:c r="B101" s="2" t="str">
        <x:v>官方</x:v>
      </x:c>
      <x:c r="C101" s="2" t="str">
        <x:v>高</x:v>
      </x:c>
      <x:c r="D101" s="27" t="str">
        <x:v>琉球大学 大学院（令和5年度）入試統計</x:v>
      </x:c>
      <x:c r="E101" s="27" t="str">
        <x:v>https://www.u-ryukyu.ac.jp/wp-content/uploads/2023/05/R5_nyuugakusyasu_daigakuin.pdf</x:v>
      </x:c>
      <x:c r="F101" s="27" t="str">
        <x:v>琉球大学</x:v>
      </x:c>
      <x:c r="G101" s="27" t="str">
        <x:v>专攻合计；物理系与地球环境系未拆分</x:v>
      </x:c>
      <x:c r="H101" s="21" t="str">
        <x:v>2026-08-28</x:v>
      </x:c>
    </x:row>
    <x:row r="102" ht="42" customHeight="1">
      <x:c r="A102" s="2" t="n">
        <x:v>98</x:v>
      </x:c>
      <x:c r="B102" s="2" t="str">
        <x:v>官方</x:v>
      </x:c>
      <x:c r="C102" s="2" t="str">
        <x:v>高</x:v>
      </x:c>
      <x:c r="D102" s="27" t="str">
        <x:v>琉球大学 大学院（令和6年度）入試統計</x:v>
      </x:c>
      <x:c r="E102" s="27" t="str">
        <x:v>https://www.u-ryukyu.ac.jp/wp-content/uploads/2024/10/R6_nyuugakusyasu_daigakuin-241008.pdf</x:v>
      </x:c>
      <x:c r="F102" s="27" t="str">
        <x:v>琉球大学</x:v>
      </x:c>
      <x:c r="G102" s="27" t="str">
        <x:v>专攻合计；物理系与地球环境系未拆分</x:v>
      </x:c>
      <x:c r="H102" s="21" t="str">
        <x:v>2026-08-28</x:v>
      </x:c>
    </x:row>
    <x:row r="103" ht="42" customHeight="1">
      <x:c r="A103" s="2" t="n">
        <x:v>99</x:v>
      </x:c>
      <x:c r="B103" s="2" t="str">
        <x:v>官方</x:v>
      </x:c>
      <x:c r="C103" s="2" t="str">
        <x:v>高</x:v>
      </x:c>
      <x:c r="D103" s="27" t="str">
        <x:v>琉球大学 大学院（令和7年度）入試統計</x:v>
      </x:c>
      <x:c r="E103" s="27" t="str">
        <x:v>https://www.u-ryukyu.ac.jp/wp-content/uploads/2025/12/R7_nyushi_tokei_daigakuin_202511.pdf</x:v>
      </x:c>
      <x:c r="F103" s="27" t="str">
        <x:v>琉球大学</x:v>
      </x:c>
      <x:c r="G103" s="27" t="str">
        <x:v>专攻合计；物理系与地球环境系未拆分</x:v>
      </x:c>
      <x:c r="H103" s="21" t="str">
        <x:v>2026-08-28</x:v>
      </x:c>
    </x:row>
    <x:row r="104" ht="42" customHeight="1">
      <x:c r="A104" s="2" t="n">
        <x:v>100</x:v>
      </x:c>
      <x:c r="B104" s="2" t="str">
        <x:v>官方</x:v>
      </x:c>
      <x:c r="C104" s="2" t="str">
        <x:v>高</x:v>
      </x:c>
      <x:c r="D104" s="27" t="str">
        <x:v>琉球大学 大学院（令和8年度）入試統計</x:v>
      </x:c>
      <x:c r="E104" s="27" t="str">
        <x:v>https://www.u-ryukyu.ac.jp/wp-content/uploads/2026/05/R8_nyushitoukei_daigakuin.pdf</x:v>
      </x:c>
      <x:c r="F104" s="27" t="str">
        <x:v>琉球大学</x:v>
      </x:c>
      <x:c r="G104" s="27" t="str">
        <x:v>专攻合计；物理系与地球环境系未拆分</x:v>
      </x:c>
      <x:c r="H104" s="21" t="str">
        <x:v>2026-08-28</x:v>
      </x:c>
    </x:row>
    <x:row r="105" ht="42" customHeight="1">
      <x:c r="A105" s="2" t="n">
        <x:v>101</x:v>
      </x:c>
      <x:c r="B105" s="2" t="str">
        <x:v>官方</x:v>
      </x:c>
      <x:c r="C105" s="2" t="str">
        <x:v>高</x:v>
      </x:c>
      <x:c r="D105" s="27" t="str">
        <x:v>琉球大学 入試データ・過去問</x:v>
      </x:c>
      <x:c r="E105" s="27" t="str">
        <x:v>https://www.u-ryukyu.ac.jp/admissions/passed/</x:v>
      </x:c>
      <x:c r="F105" s="27" t="str">
        <x:v>琉球大学</x:v>
      </x:c>
      <x:c r="G105" s="27" t="str">
        <x:v>链接到各年度大学院统计PDF</x:v>
      </x:c>
      <x:c r="H105" s="21" t="str">
        <x:v>2026-08-28</x:v>
      </x:c>
    </x:row>
    <x:row r="106" ht="42" customHeight="1">
      <x:c r="A106" s="2" t="n">
        <x:v>102</x:v>
      </x:c>
      <x:c r="B106" s="2" t="str">
        <x:v>官方</x:v>
      </x:c>
      <x:c r="C106" s="2" t="str">
        <x:v>高</x:v>
      </x:c>
      <x:c r="D106" s="27" t="str">
        <x:v>令和4年度大学院入学試験結果（システム情報工学研究群）</x:v>
      </x:c>
      <x:c r="E106" s="27" t="str">
        <x:v>https://www.tsukuba.ac.jp/admission/graduate-result/pdf/r4-4.pdf</x:v>
      </x:c>
      <x:c r="F106" s="27" t="str">
        <x:v>筑波大学</x:v>
      </x:c>
      <x:c r="G106" s="27" t="str">
        <x:v>研究群の博士前期課程小計。学位プログラム別ではなく、研究群全体の公式値。</x:v>
      </x:c>
      <x:c r="H106" s="21" t="str">
        <x:v>2026-08-28</x:v>
      </x:c>
    </x:row>
    <x:row r="107" ht="42" customHeight="1">
      <x:c r="A107" s="2" t="n">
        <x:v>103</x:v>
      </x:c>
      <x:c r="B107" s="2" t="str">
        <x:v>官方</x:v>
      </x:c>
      <x:c r="C107" s="2" t="str">
        <x:v>高</x:v>
      </x:c>
      <x:c r="D107" s="27" t="str">
        <x:v>令和4年度大学院入学試験結果（数理物質科学研究群）</x:v>
      </x:c>
      <x:c r="E107" s="27" t="str">
        <x:v>https://www.tsukuba.ac.jp/admission/graduate-result/pdf/r4-3.pdf</x:v>
      </x:c>
      <x:c r="F107" s="27" t="str">
        <x:v>筑波大学</x:v>
      </x:c>
      <x:c r="G107" s="27" t="str">
        <x:v>研究群の博士前期課程小計。学位プログラム別ではなく、研究群全体の公式値。</x:v>
      </x:c>
      <x:c r="H107" s="21" t="str">
        <x:v>2026-08-28</x:v>
      </x:c>
    </x:row>
    <x:row r="108" ht="42" customHeight="1">
      <x:c r="A108" s="2" t="n">
        <x:v>104</x:v>
      </x:c>
      <x:c r="B108" s="2" t="str">
        <x:v>官方</x:v>
      </x:c>
      <x:c r="C108" s="2" t="str">
        <x:v>高</x:v>
      </x:c>
      <x:c r="D108" s="27" t="str">
        <x:v>令和5年度大学院入学試験結果（システム情報工学研究群）</x:v>
      </x:c>
      <x:c r="E108" s="27" t="str">
        <x:v>https://www.tsukuba.ac.jp/admission/graduate-result/pdf/r5-systems-info-engineering.pdf</x:v>
      </x:c>
      <x:c r="F108" s="27" t="str">
        <x:v>筑波大学</x:v>
      </x:c>
      <x:c r="G108" s="27" t="str">
        <x:v>研究群の博士前期課程小計。学位プログラム別ではなく、研究群全体の公式値。</x:v>
      </x:c>
      <x:c r="H108" s="21" t="str">
        <x:v>2026-08-28</x:v>
      </x:c>
    </x:row>
    <x:row r="109" ht="42" customHeight="1">
      <x:c r="A109" s="2" t="n">
        <x:v>105</x:v>
      </x:c>
      <x:c r="B109" s="2" t="str">
        <x:v>官方</x:v>
      </x:c>
      <x:c r="C109" s="2" t="str">
        <x:v>高</x:v>
      </x:c>
      <x:c r="D109" s="27" t="str">
        <x:v>令和5年度大学院入学試験結果（数理物質科学研究群）</x:v>
      </x:c>
      <x:c r="E109" s="27" t="str">
        <x:v>https://www.tsukuba.ac.jp/admission/graduate-result/pdf/r5-pure-applied-sciences.pdf</x:v>
      </x:c>
      <x:c r="F109" s="27" t="str">
        <x:v>筑波大学</x:v>
      </x:c>
      <x:c r="G109" s="27" t="str">
        <x:v>研究群の博士前期課程小計。学位プログラム別ではなく、研究群全体の公式値。</x:v>
      </x:c>
      <x:c r="H109" s="21" t="str">
        <x:v>2026-08-28</x:v>
      </x:c>
    </x:row>
    <x:row r="110" ht="42" customHeight="1">
      <x:c r="A110" s="2" t="n">
        <x:v>106</x:v>
      </x:c>
      <x:c r="B110" s="2" t="str">
        <x:v>官方</x:v>
      </x:c>
      <x:c r="C110" s="2" t="str">
        <x:v>高</x:v>
      </x:c>
      <x:c r="D110" s="27" t="str">
        <x:v>令和6年度 九州大学大学院工学府修士課程学生募集要項</x:v>
      </x:c>
      <x:c r="E110" s="27" t="str">
        <x:v>https://www.eng.kyushu-u.ac.jp/script/wordpress/wp-content/uploads/d9042c2b2f4cd4d219c45a82fda65286.pdf</x:v>
      </x:c>
      <x:c r="F110" s="27" t="str">
        <x:v>九州大学</x:v>
      </x:c>
      <x:c r="G110" s="27" t="str">
        <x:v>定员68人为应用化学专攻两个系科目合计，原表未给功能物质化学系科目单独定员。</x:v>
      </x:c>
      <x:c r="H110" s="21" t="str">
        <x:v>2026-08-28</x:v>
      </x:c>
    </x:row>
    <x:row r="111" ht="42" customHeight="1">
      <x:c r="A111" s="2" t="n">
        <x:v>107</x:v>
      </x:c>
      <x:c r="B111" s="2" t="str">
        <x:v>官方</x:v>
      </x:c>
      <x:c r="C111" s="2" t="str">
        <x:v>高</x:v>
      </x:c>
      <x:c r="D111" s="27" t="str">
        <x:v>令和6年度大学院入学試験結果（システム情報工学研究群）</x:v>
      </x:c>
      <x:c r="E111" s="27" t="str">
        <x:v>https://www.tsukuba.ac.jp/admission/graduate-result/pdf/r6-systems-info-engineering.pdf</x:v>
      </x:c>
      <x:c r="F111" s="27" t="str">
        <x:v>筑波大学</x:v>
      </x:c>
      <x:c r="G111" s="27" t="str">
        <x:v>研究群の博士前期課程小計。学位プログラム別ではなく、研究群全体の公式値。</x:v>
      </x:c>
      <x:c r="H111" s="21" t="str">
        <x:v>2026-08-28</x:v>
      </x:c>
    </x:row>
    <x:row r="112" ht="42" customHeight="1">
      <x:c r="A112" s="2" t="n">
        <x:v>108</x:v>
      </x:c>
      <x:c r="B112" s="2" t="str">
        <x:v>官方</x:v>
      </x:c>
      <x:c r="C112" s="2" t="str">
        <x:v>高</x:v>
      </x:c>
      <x:c r="D112" s="27" t="str">
        <x:v>令和6年度大学院入学試験結果（数理物質科学研究群）</x:v>
      </x:c>
      <x:c r="E112" s="27" t="str">
        <x:v>https://www.tsukuba.ac.jp/admission/graduate-result/pdf/r6-pure-applied-sciences.pdf</x:v>
      </x:c>
      <x:c r="F112" s="27" t="str">
        <x:v>筑波大学</x:v>
      </x:c>
      <x:c r="G112" s="27" t="str">
        <x:v>研究群の博士前期課程小計。学位プログラム別ではなく、研究群全体の公式値。</x:v>
      </x:c>
      <x:c r="H112" s="21" t="str">
        <x:v>2026-08-28</x:v>
      </x:c>
    </x:row>
    <x:row r="113" ht="42" customHeight="1">
      <x:c r="A113" s="2" t="n">
        <x:v>109</x:v>
      </x:c>
      <x:c r="B113" s="2" t="str">
        <x:v>官方</x:v>
      </x:c>
      <x:c r="C113" s="2" t="str">
        <x:v>高</x:v>
      </x:c>
      <x:c r="D113" s="27" t="str">
        <x:v>令和7年度 名古屋工業大学大学院工学研究科入学者選抜状況</x:v>
      </x:c>
      <x:c r="E113" s="27" t="str">
        <x:v>https://www.nitech.ac.jp/examination/mt_files/R7_in_zenki_senbatsu_0508.pdf</x:v>
      </x:c>
      <x:c r="F113" s="27" t="str">
        <x:v>名古屋工業大学</x:v>
      </x:c>
      <x:c r="G113" s="27" t="str">
        <x:v>系精确；各选拔类别汇总</x:v>
      </x:c>
      <x:c r="H113" s="21" t="str">
        <x:v>2026-08-28</x:v>
      </x:c>
    </x:row>
    <x:row r="114" ht="42" customHeight="1">
      <x:c r="A114" s="2" t="n">
        <x:v>110</x:v>
      </x:c>
      <x:c r="B114" s="2" t="str">
        <x:v>官方</x:v>
      </x:c>
      <x:c r="C114" s="2" t="str">
        <x:v>高</x:v>
      </x:c>
      <x:c r="D114" s="27" t="str">
        <x:v>令和7年度大学院入学試験結果（システム情報工学研究群）</x:v>
      </x:c>
      <x:c r="E114" s="27" t="str">
        <x:v>https://www.tsukuba.ac.jp/admission/graduate-result/pdf/r7-systems-info-engineering.pdf</x:v>
      </x:c>
      <x:c r="F114" s="27" t="str">
        <x:v>筑波大学</x:v>
      </x:c>
      <x:c r="G114" s="27" t="str">
        <x:v>研究群の博士前期課程小計。学位プログラム別ではなく、研究群全体の公式値。</x:v>
      </x:c>
      <x:c r="H114" s="21" t="str">
        <x:v>2026-08-28</x:v>
      </x:c>
    </x:row>
    <x:row r="115" ht="42" customHeight="1">
      <x:c r="A115" s="2" t="n">
        <x:v>111</x:v>
      </x:c>
      <x:c r="B115" s="2" t="str">
        <x:v>官方</x:v>
      </x:c>
      <x:c r="C115" s="2" t="str">
        <x:v>高</x:v>
      </x:c>
      <x:c r="D115" s="27" t="str">
        <x:v>令和7年度大学院入学試験結果（数理物質科学研究群）</x:v>
      </x:c>
      <x:c r="E115" s="27" t="str">
        <x:v>https://www.tsukuba.ac.jp/admission/graduate-result/pdf/r7-pure-applied-sciences.pdf</x:v>
      </x:c>
      <x:c r="F115" s="27" t="str">
        <x:v>筑波大学</x:v>
      </x:c>
      <x:c r="G115" s="27" t="str">
        <x:v>研究群の博士前期課程小計。学位プログラム別ではなく、研究群全体の公式値。</x:v>
      </x:c>
      <x:c r="H115" s="21" t="str">
        <x:v>2026-08-28</x:v>
      </x:c>
    </x:row>
    <x:row r="116" ht="42" customHeight="1">
      <x:c r="A116" s="2" t="n">
        <x:v>112</x:v>
      </x:c>
      <x:c r="B116" s="2" t="str">
        <x:v>官方</x:v>
      </x:c>
      <x:c r="C116" s="2" t="str">
        <x:v>高</x:v>
      </x:c>
      <x:c r="D116" s="27" t="str">
        <x:v>令和8年度 九州大学大学院工学府修士課程学生募集要項</x:v>
      </x:c>
      <x:c r="E116" s="27" t="str">
        <x:v>https://www.eng.kyushu-u.ac.jp/script/wordpress/wp-content/uploads/0c45fa993084b534141aee65b294cac2.pdf</x:v>
      </x:c>
      <x:c r="F116" s="27" t="str">
        <x:v>九州大学</x:v>
      </x:c>
      <x:c r="G116" s="27" t="str">
        <x:v>定员68人为应用化学专攻两个系科目合计，原表未给功能物质化学系科目单独定员。</x:v>
      </x:c>
      <x:c r="H116" s="21" t="str">
        <x:v>2026-08-28</x:v>
      </x:c>
    </x:row>
    <x:row r="117" ht="42" customHeight="1">
      <x:c r="A117" s="2" t="n">
        <x:v>113</x:v>
      </x:c>
      <x:c r="B117" s="2" t="str">
        <x:v>官方</x:v>
      </x:c>
      <x:c r="C117" s="2" t="str">
        <x:v>高</x:v>
      </x:c>
      <x:c r="D117" s="27" t="str">
        <x:v>令和8年度 九州大学大学院数理学府修士課程 入学試験 合格者一覧</x:v>
      </x:c>
      <x:c r="E117" s="27" t="str">
        <x:v>https://www.math.kyushu-u.ac.jp/wp-content/uploads/2025/08/2025master.pdf</x:v>
      </x:c>
      <x:c r="F117" s="27" t="str">
        <x:v>九州大学</x:v>
      </x:c>
      <x:c r="G117" s="27" t="str">
        <x:v>课程别合格者数。</x:v>
      </x:c>
      <x:c r="H117" s="21" t="str">
        <x:v>2026-08-28</x:v>
      </x:c>
    </x:row>
    <x:row r="118" ht="42" customHeight="1">
      <x:c r="A118" s="2" t="n">
        <x:v>114</x:v>
      </x:c>
      <x:c r="B118" s="2" t="str">
        <x:v>官方</x:v>
      </x:c>
      <x:c r="C118" s="2" t="str">
        <x:v>高</x:v>
      </x:c>
      <x:c r="D118" s="27" t="str">
        <x:v>令和8年度 名古屋工業大学大学院工学研究科入学者選抜状況</x:v>
      </x:c>
      <x:c r="E118" s="27" t="str">
        <x:v>https://www.nitech.ac.jp/examination/mt_files/R8_in_zenki_senbatsu.pdf</x:v>
      </x:c>
      <x:c r="F118" s="27" t="str">
        <x:v>名古屋工業大学</x:v>
      </x:c>
      <x:c r="G118" s="27" t="str">
        <x:v>系精确；各选拔类别汇总</x:v>
      </x:c>
      <x:c r="H118" s="21" t="str">
        <x:v>2026-08-28</x:v>
      </x:c>
    </x:row>
    <x:row r="119" ht="42" customHeight="1">
      <x:c r="A119" s="2" t="n">
        <x:v>115</x:v>
      </x:c>
      <x:c r="B119" s="2" t="str">
        <x:v>官方</x:v>
      </x:c>
      <x:c r="C119" s="2" t="str">
        <x:v>高</x:v>
      </x:c>
      <x:c r="D119" s="27" t="str">
        <x:v>令和8年度大学院入学試験結果（システム情報工学研究群）</x:v>
      </x:c>
      <x:c r="E119" s="27" t="str">
        <x:v>https://www.tsukuba.ac.jp/admission/graduate-result/pdf/r8-systems-info-engineering.pdf</x:v>
      </x:c>
      <x:c r="F119" s="27" t="str">
        <x:v>筑波大学</x:v>
      </x:c>
      <x:c r="G119" s="27" t="str">
        <x:v>研究群の博士前期課程小計。学位プログラム別ではなく、研究群全体の公式値。</x:v>
      </x:c>
      <x:c r="H119" s="21" t="str">
        <x:v>2026-08-28</x:v>
      </x:c>
    </x:row>
    <x:row r="120" ht="42" customHeight="1">
      <x:c r="A120" s="2" t="n">
        <x:v>116</x:v>
      </x:c>
      <x:c r="B120" s="2" t="str">
        <x:v>官方</x:v>
      </x:c>
      <x:c r="C120" s="2" t="str">
        <x:v>高</x:v>
      </x:c>
      <x:c r="D120" s="27" t="str">
        <x:v>令和8年度大学院入学試験結果（数理物質科学研究群）</x:v>
      </x:c>
      <x:c r="E120" s="27" t="str">
        <x:v>https://www.tsukuba.ac.jp/admission/graduate-result/pdf/r8-pure-applied-sciences.pdf</x:v>
      </x:c>
      <x:c r="F120" s="27" t="str">
        <x:v>筑波大学</x:v>
      </x:c>
      <x:c r="G120" s="27" t="str">
        <x:v>研究群の博士前期課程小計。学位プログラム別ではなく、研究群全体の公式値。</x:v>
      </x:c>
      <x:c r="H120" s="21" t="str">
        <x:v>2026-08-28</x:v>
      </x:c>
    </x:row>
    <x:row r="121" ht="42" customHeight="1">
      <x:c r="A121" s="2" t="n">
        <x:v>117</x:v>
      </x:c>
      <x:c r="B121" s="2" t="str">
        <x:v>官方</x:v>
      </x:c>
      <x:c r="C121" s="2" t="str">
        <x:v>高</x:v>
      </x:c>
      <x:c r="D121" s="27" t="str">
        <x:v>歴史と実績 | KBS 慶應義塾大学大学院経営管理研究科</x:v>
      </x:c>
      <x:c r="E121" s="27" t="str">
        <x:v>https://www.kbs.keio.ac.jp/about/history.html</x:v>
      </x:c>
      <x:c r="F121" s="27" t="str">
        <x:v>慶應義塾大学</x:v>
      </x:c>
      <x:c r="G121" s="27" t="str">
        <x:v>MBA项目精确值；不含EMBA项目。</x:v>
      </x:c>
      <x:c r="H121" s="21" t="str">
        <x:v>2026-08-28</x:v>
      </x:c>
    </x:row>
    <x:row r="122" ht="42" customHeight="1">
      <x:c r="A122" s="2" t="n">
        <x:v>118</x:v>
      </x:c>
      <x:c r="B122" s="2" t="str">
        <x:v>民间</x:v>
      </x:c>
      <x:c r="C122" s="2" t="str">
        <x:v>中</x:v>
      </x:c>
      <x:c r="D122" s="27" t="str">
        <x:v>note：2026年度 創造情報学専攻 院試体験記</x:v>
      </x:c>
      <x:c r="E122" s="27" t="str">
        <x:v>https://note.com/loyal_aster5354/n/ned7252e83af9</x:v>
      </x:c>
      <x:c r="F122" s="27" t="str">
        <x:v>東京大学</x:v>
      </x:c>
      <x:c r="G122" s="27" t="str">
        <x:v>倍率为个人估算，分母/选拔范围未由官方表验证。</x:v>
      </x:c>
      <x:c r="H122" s="21" t="str">
        <x:v>2026-08-28</x:v>
      </x:c>
    </x:row>
    <x:row r="123" ht="42" customHeight="1">
      <x:c r="A123" s="2" t="n">
        <x:v>119</x:v>
      </x:c>
      <x:c r="B123" s="2" t="str">
        <x:v>民间</x:v>
      </x:c>
      <x:c r="C123" s="2" t="str">
        <x:v>中</x:v>
      </x:c>
      <x:c r="D123" s="27" t="str">
        <x:v>note：京都大学情報学研究科社会情報学コース 受験編</x:v>
      </x:c>
      <x:c r="E123" s="27" t="str">
        <x:v>https://note.com/takeru__m/n/n6e1666a183a5</x:v>
      </x:c>
      <x:c r="F123" s="27" t="str">
        <x:v>京都大学</x:v>
      </x:c>
      <x:c r="G123" s="27" t="str">
        <x:v>作者写作口径为2025年度考试、2026年度入学；项目当前清单未列社会信息学，仅作旁证。</x:v>
      </x:c>
      <x:c r="H123" s="21" t="str">
        <x:v>2026-08-28</x:v>
      </x:c>
    </x:row>
    <x:row r="124" ht="42" customHeight="1">
      <x:c r="A124" s="2" t="n">
        <x:v>120</x:v>
      </x:c>
      <x:c r="B124" s="2" t="str">
        <x:v>民间</x:v>
      </x:c>
      <x:c r="C124" s="2" t="str">
        <x:v>中</x:v>
      </x:c>
      <x:c r="D124" s="27" t="str">
        <x:v>note：大阪大学大学院 情報数理学専攻 合格体験記</x:v>
      </x:c>
      <x:c r="E124" s="27" t="str">
        <x:v>https://note.com/keen_myrtle9941/n/ned95797b18d4</x:v>
      </x:c>
      <x:c r="F124" s="27" t="str">
        <x:v>大阪大学</x:v>
      </x:c>
      <x:c r="G124" s="27" t="str">
        <x:v>个人体验与会场观察；人数含/不含何种选拔类别可能不同。</x:v>
      </x:c>
      <x:c r="H124" s="21" t="str">
        <x:v>2026-08-28</x:v>
      </x:c>
    </x:row>
    <x:row r="125" ht="42" customHeight="1">
      <x:c r="A125" s="2" t="n">
        <x:v>121</x:v>
      </x:c>
      <x:c r="B125" s="2" t="str">
        <x:v>民间</x:v>
      </x:c>
      <x:c r="C125" s="2" t="str">
        <x:v>中</x:v>
      </x:c>
      <x:c r="D125" s="27" t="str">
        <x:v>note：東京大学情報理工 コンピュータ科学専攻 院試体験記</x:v>
      </x:c>
      <x:c r="E125" s="27" t="str">
        <x:v>https://note.com/warabi1729/n/n5122997ce916</x:v>
      </x:c>
      <x:c r="F125" s="27" t="str">
        <x:v>東京大学</x:v>
      </x:c>
      <x:c r="G125" s="27" t="str">
        <x:v>作者按合格编号估算；不是官方志愿者/最终合格者统计。</x:v>
      </x:c>
      <x:c r="H125" s="21" t="str">
        <x:v>2026-08-28</x:v>
      </x:c>
    </x:row>
    <x:row r="126" ht="42" customHeight="1">
      <x:c r="A126" s="2" t="n">
        <x:v>122</x:v>
      </x:c>
      <x:c r="B126" s="2" t="str">
        <x:v>民间</x:v>
      </x:c>
      <x:c r="C126" s="2" t="str">
        <x:v>中</x:v>
      </x:c>
      <x:c r="D126" s="27" t="str">
        <x:v>note：令和8年度 名古屋大学知能システム学専攻 合格体験記</x:v>
      </x:c>
      <x:c r="E126" s="27" t="str">
        <x:v>https://note.com/ni_note_/n/n5fd2e32892b9</x:v>
      </x:c>
      <x:c r="F126" s="27" t="str">
        <x:v>名古屋大学</x:v>
      </x:c>
      <x:c r="G126" s="27" t="str">
        <x:v>文章称数据来自研究科官网；本表仍把二次计算标作民间补充，官方行优先。</x:v>
      </x:c>
      <x:c r="H126" s="21" t="str">
        <x:v>2026-08-28</x:v>
      </x:c>
    </x:row>
    <x:row r="127" ht="42" customHeight="1">
      <x:c r="A127" s="2" t="n">
        <x:v>123</x:v>
      </x:c>
      <x:c r="B127" s="2" t="str">
        <x:v>民间</x:v>
      </x:c>
      <x:c r="C127" s="2" t="str">
        <x:v>中</x:v>
      </x:c>
      <x:c r="D127" s="27" t="str">
        <x:v>京大情報学研究科各コースの倍率変化｜Academ-aid</x:v>
      </x:c>
      <x:c r="E127" s="27" t="str">
        <x:v>https://academ-aid.com/ist/comp-rate</x:v>
      </x:c>
      <x:c r="F127" s="27" t="str">
        <x:v>京都大学</x:v>
      </x:c>
      <x:c r="G127" s="27" t="str">
        <x:v>基于2026年度出愿状况整理；更接近志愿者/募集人数，不能替代志愿者/合格者口径。</x:v>
      </x:c>
      <x:c r="H127" s="21" t="str">
        <x:v>2026-08-28</x:v>
      </x:c>
    </x:row>
  </x:sheetData>
  <x:mergeCells>
    <x:mergeCell ref="A1:H1"/>
    <x:mergeCell ref="A2:H2"/>
  </x:mergeCells>
  <x:conditionalFormatting sqref="B5:C127">
    <x:cfRule type="containsText" dxfId="4" priority="1" operator="containsText" text="民间"/>
  </x:conditionalFormatting>
  <x:pageMargins left="0.7" right="0.7" top="0.75" bottom="0.75" header="0.3" footer="0.3"/>
  <x:tableParts count="1">
    <x:tablePart xmlns:r="http://schemas.openxmlformats.org/officeDocument/2006/relationships" r:id="Rc929e41402f54c5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1" hidden="0" customWidth="1"/>
    <x:col min="2" max="2" width="24" hidden="0" customWidth="1"/>
    <x:col min="3" max="3" width="30" hidden="0" customWidth="1"/>
    <x:col min="4" max="4" width="11" hidden="0" customWidth="1"/>
    <x:col min="5" max="5" width="28" hidden="0" customWidth="1"/>
    <x:col min="6" max="6" width="36" hidden="0" customWidth="1"/>
    <x:col min="7" max="7" width="11" hidden="0" customWidth="1"/>
    <x:col min="8" max="8" width="10" hidden="0" customWidth="1"/>
    <x:col min="9" max="9" width="48" hidden="0" customWidth="1"/>
    <x:col min="10" max="10" width="48" hidden="0" customWidth="1"/>
    <x:col min="11" max="11" width="52" hidden="0" customWidth="1"/>
  </x:cols>
  <x:sheetData>
    <x:row r="1" ht="34" customHeight="1">
      <x:c r="A1" s="4" t="str">
        <x:v>民间数据补充（中可信度）</x:v>
      </x:c>
      <x:c r="B1" s="4"/>
      <x:c r="C1" s="4"/>
      <x:c r="D1" s="4"/>
      <x:c r="E1" s="4"/>
      <x:c r="F1" s="4"/>
      <x:c r="G1" s="4"/>
      <x:c r="H1" s="4"/>
      <x:c r="I1" s="4"/>
      <x:c r="J1" s="4"/>
      <x:c r="K1" s="4"/>
    </x:row>
    <x:row r="2" ht="25" customHeight="1">
      <x:c r="A2" s="6" t="str">
        <x:v>仅用于补足官网未细分的线索；不与官方主表合并计算。引用前请再次回到原文核对口径。 </x:v>
      </x:c>
      <x:c r="B2" s="6"/>
      <x:c r="C2" s="6"/>
      <x:c r="D2" s="6"/>
      <x:c r="E2" s="6"/>
      <x:c r="F2" s="6"/>
      <x:c r="G2" s="6"/>
      <x:c r="H2" s="6"/>
      <x:c r="I2" s="6"/>
      <x:c r="J2" s="6"/>
      <x:c r="K2" s="6"/>
    </x:row>
    <x:row r="3">
      <x:c r="A3" s="2"/>
      <x:c r="B3" s="2"/>
      <x:c r="C3" s="2"/>
      <x:c r="D3" s="2"/>
      <x:c r="E3" s="2"/>
      <x:c r="F3" s="2"/>
      <x:c r="G3" s="2"/>
      <x:c r="H3" s="2"/>
      <x:c r="I3" s="2"/>
      <x:c r="J3" s="2"/>
      <x:c r="K3" s="2"/>
    </x:row>
    <x:row r="4" ht="32" customHeight="1">
      <x:c r="A4" s="33" t="str">
        <x:v>大学</x:v>
      </x:c>
      <x:c r="B4" s="33" t="str">
        <x:v>研究科/学院</x:v>
      </x:c>
      <x:c r="C4" s="33" t="str">
        <x:v>专攻/课程</x:v>
      </x:c>
      <x:c r="D4" s="33" t="str">
        <x:v>入学年度</x:v>
      </x:c>
      <x:c r="E4" s="33" t="str">
        <x:v>补充项目</x:v>
      </x:c>
      <x:c r="F4" s="33" t="str">
        <x:v>民间报告值</x:v>
      </x:c>
      <x:c r="G4" s="33" t="str">
        <x:v>来源类型</x:v>
      </x:c>
      <x:c r="H4" s="33" t="str">
        <x:v>可信度</x:v>
      </x:c>
      <x:c r="I4" s="33" t="str">
        <x:v>来源标题</x:v>
      </x:c>
      <x:c r="J4" s="33" t="str">
        <x:v>来源URL</x:v>
      </x:c>
      <x:c r="K4" s="33" t="str">
        <x:v>使用限制</x:v>
      </x:c>
    </x:row>
    <x:row r="5" ht="52" customHeight="1">
      <x:c r="A5" s="49" t="str">
        <x:v>京都大学</x:v>
      </x:c>
      <x:c r="B5" s="49" t="str">
        <x:v>情報学研究科</x:v>
      </x:c>
      <x:c r="C5" s="49" t="str">
        <x:v>知能情報学</x:v>
      </x:c>
      <x:c r="D5" s="49" t="n">
        <x:v>2026</x:v>
      </x:c>
      <x:c r="E5" s="49" t="str">
        <x:v>文章公布倍率</x:v>
      </x:c>
      <x:c r="F5" s="49" t="str">
        <x:v>4.2倍</x:v>
      </x:c>
      <x:c r="G5" s="49" t="str">
        <x:v>民间</x:v>
      </x:c>
      <x:c r="H5" s="49" t="str">
        <x:v>中</x:v>
      </x:c>
      <x:c r="I5" s="49" t="str">
        <x:v>Academaid：京大情報学研究科各コースの倍率変化</x:v>
      </x:c>
      <x:c r="J5" s="49" t="str">
        <x:v>https://academ-aid.com/ist/comp-rate</x:v>
      </x:c>
      <x:c r="K5" s="49" t="str">
        <x:v>基于2026年度出愿状况整理；更接近志愿者/募集人数，不能替代志愿者/合格者口径。</x:v>
      </x:c>
    </x:row>
    <x:row r="6" ht="52" customHeight="1">
      <x:c r="A6" s="49" t="str">
        <x:v>京都大学</x:v>
      </x:c>
      <x:c r="B6" s="49" t="str">
        <x:v>情報学研究科</x:v>
      </x:c>
      <x:c r="C6" s="49" t="str">
        <x:v>先端数理科学</x:v>
      </x:c>
      <x:c r="D6" s="49" t="n">
        <x:v>2026</x:v>
      </x:c>
      <x:c r="E6" s="49" t="str">
        <x:v>文章公布倍率</x:v>
      </x:c>
      <x:c r="F6" s="49" t="str">
        <x:v>2.9倍</x:v>
      </x:c>
      <x:c r="G6" s="49" t="str">
        <x:v>民间</x:v>
      </x:c>
      <x:c r="H6" s="49" t="str">
        <x:v>中</x:v>
      </x:c>
      <x:c r="I6" s="49" t="str">
        <x:v>Academaid：京大情報学研究科各コースの倍率変化</x:v>
      </x:c>
      <x:c r="J6" s="49" t="str">
        <x:v>https://academ-aid.com/ist/comp-rate</x:v>
      </x:c>
      <x:c r="K6" s="49" t="str">
        <x:v>基于2026年度出愿状况整理；更接近志愿者/募集人数，不能替代志愿者/合格者口径。</x:v>
      </x:c>
    </x:row>
    <x:row r="7" ht="52" customHeight="1">
      <x:c r="A7" s="49" t="str">
        <x:v>京都大学</x:v>
      </x:c>
      <x:c r="B7" s="49" t="str">
        <x:v>情報学研究科</x:v>
      </x:c>
      <x:c r="C7" s="49" t="str">
        <x:v>数理工学</x:v>
      </x:c>
      <x:c r="D7" s="49" t="n">
        <x:v>2026</x:v>
      </x:c>
      <x:c r="E7" s="49" t="str">
        <x:v>文章公布倍率</x:v>
      </x:c>
      <x:c r="F7" s="49" t="str">
        <x:v>2.6倍</x:v>
      </x:c>
      <x:c r="G7" s="49" t="str">
        <x:v>民间</x:v>
      </x:c>
      <x:c r="H7" s="49" t="str">
        <x:v>中</x:v>
      </x:c>
      <x:c r="I7" s="49" t="str">
        <x:v>Academaid：京大情報学研究科各コースの倍率変化</x:v>
      </x:c>
      <x:c r="J7" s="49" t="str">
        <x:v>https://academ-aid.com/ist/comp-rate</x:v>
      </x:c>
      <x:c r="K7" s="49" t="str">
        <x:v>基于2026年度出愿状况整理；更接近志愿者/募集人数，不能替代志愿者/合格者口径。</x:v>
      </x:c>
    </x:row>
    <x:row r="8" ht="52" customHeight="1">
      <x:c r="A8" s="49" t="str">
        <x:v>京都大学</x:v>
      </x:c>
      <x:c r="B8" s="49" t="str">
        <x:v>情報学研究科</x:v>
      </x:c>
      <x:c r="C8" s="49" t="str">
        <x:v>システム科学</x:v>
      </x:c>
      <x:c r="D8" s="49" t="n">
        <x:v>2026</x:v>
      </x:c>
      <x:c r="E8" s="49" t="str">
        <x:v>文章公布倍率</x:v>
      </x:c>
      <x:c r="F8" s="49" t="str">
        <x:v>3.0倍</x:v>
      </x:c>
      <x:c r="G8" s="49" t="str">
        <x:v>民间</x:v>
      </x:c>
      <x:c r="H8" s="49" t="str">
        <x:v>中</x:v>
      </x:c>
      <x:c r="I8" s="49" t="str">
        <x:v>Academaid：京大情報学研究科各コースの倍率変化</x:v>
      </x:c>
      <x:c r="J8" s="49" t="str">
        <x:v>https://academ-aid.com/ist/comp-rate</x:v>
      </x:c>
      <x:c r="K8" s="49" t="str">
        <x:v>基于2026年度出愿状况整理；更接近志愿者/募集人数，不能替代志愿者/合格者口径。</x:v>
      </x:c>
    </x:row>
    <x:row r="9" ht="52" customHeight="1">
      <x:c r="A9" s="49" t="str">
        <x:v>京都大学</x:v>
      </x:c>
      <x:c r="B9" s="49" t="str">
        <x:v>情報学研究科</x:v>
      </x:c>
      <x:c r="C9" s="49" t="str">
        <x:v>通信情報システム</x:v>
      </x:c>
      <x:c r="D9" s="49" t="n">
        <x:v>2026</x:v>
      </x:c>
      <x:c r="E9" s="49" t="str">
        <x:v>文章公布倍率</x:v>
      </x:c>
      <x:c r="F9" s="49" t="str">
        <x:v>1.8倍</x:v>
      </x:c>
      <x:c r="G9" s="49" t="str">
        <x:v>民间</x:v>
      </x:c>
      <x:c r="H9" s="49" t="str">
        <x:v>中</x:v>
      </x:c>
      <x:c r="I9" s="49" t="str">
        <x:v>Academaid：京大情報学研究科各コースの倍率変化</x:v>
      </x:c>
      <x:c r="J9" s="49" t="str">
        <x:v>https://academ-aid.com/ist/comp-rate</x:v>
      </x:c>
      <x:c r="K9" s="49" t="str">
        <x:v>基于2026年度出愿状况整理；更接近志愿者/募集人数，不能替代志愿者/合格者口径。</x:v>
      </x:c>
    </x:row>
    <x:row r="10" ht="52" customHeight="1">
      <x:c r="A10" s="49" t="str">
        <x:v>大阪大学</x:v>
      </x:c>
      <x:c r="B10" s="49" t="str">
        <x:v>情報科学研究科</x:v>
      </x:c>
      <x:c r="C10" s="49" t="str">
        <x:v>情報数理学</x:v>
      </x:c>
      <x:c r="D10" s="49" t="n">
        <x:v>2025</x:v>
      </x:c>
      <x:c r="E10" s="49" t="str">
        <x:v>作者观察的报名与实质倍率</x:v>
      </x:c>
      <x:c r="F10" s="49" t="str">
        <x:v>志愿者约50/募集20≈2.5倍；受验40/合格27≈1.5倍</x:v>
      </x:c>
      <x:c r="G10" s="49" t="str">
        <x:v>民间</x:v>
      </x:c>
      <x:c r="H10" s="49" t="str">
        <x:v>中</x:v>
      </x:c>
      <x:c r="I10" s="49" t="str">
        <x:v>note：大阪大学大学院 情報数理学専攻 合格体験記</x:v>
      </x:c>
      <x:c r="J10" s="49" t="str">
        <x:v>https://note.com/keen_myrtle9941/n/ned95797b18d4</x:v>
      </x:c>
      <x:c r="K10" s="49" t="str">
        <x:v>个人体验与会场观察；人数含/不含何种选拔类别可能不同。</x:v>
      </x:c>
    </x:row>
    <x:row r="11" ht="52" customHeight="1">
      <x:c r="A11" s="49" t="str">
        <x:v>東京大学</x:v>
      </x:c>
      <x:c r="B11" s="49" t="str">
        <x:v>情報理工学系研究科</x:v>
      </x:c>
      <x:c r="C11" s="49" t="str">
        <x:v>コンピュータ科学専攻</x:v>
      </x:c>
      <x:c r="D11" s="49" t="n">
        <x:v>2026</x:v>
      </x:c>
      <x:c r="E11" s="49" t="str">
        <x:v>书类审查通过阶段倍率</x:v>
      </x:c>
      <x:c r="F11" s="49" t="str">
        <x:v>约1.7倍</x:v>
      </x:c>
      <x:c r="G11" s="49" t="str">
        <x:v>民间</x:v>
      </x:c>
      <x:c r="H11" s="49" t="str">
        <x:v>中</x:v>
      </x:c>
      <x:c r="I11" s="49" t="str">
        <x:v>note：東京大学情報理工 コンピュータ科学専攻 院試体験記</x:v>
      </x:c>
      <x:c r="J11" s="49" t="str">
        <x:v>https://note.com/warabi1729/n/n5122997ce916</x:v>
      </x:c>
      <x:c r="K11" s="49" t="str">
        <x:v>作者按合格编号估算；不是官方志愿者/最终合格者统计。</x:v>
      </x:c>
    </x:row>
    <x:row r="12" ht="52" customHeight="1">
      <x:c r="A12" s="49" t="str">
        <x:v>東京大学</x:v>
      </x:c>
      <x:c r="B12" s="49" t="str">
        <x:v>情報理工学系研究科</x:v>
      </x:c>
      <x:c r="C12" s="49" t="str">
        <x:v>創造情報学専攻</x:v>
      </x:c>
      <x:c r="D12" s="49" t="n">
        <x:v>2026</x:v>
      </x:c>
      <x:c r="E12" s="49" t="str">
        <x:v>作者估算整体倍率</x:v>
      </x:c>
      <x:c r="F12" s="49" t="str">
        <x:v>约5倍；作者称夏入试合格28人</x:v>
      </x:c>
      <x:c r="G12" s="49" t="str">
        <x:v>民间</x:v>
      </x:c>
      <x:c r="H12" s="49" t="str">
        <x:v>中</x:v>
      </x:c>
      <x:c r="I12" s="49" t="str">
        <x:v>note：2026年度 創造情報学専攻 院試体験記</x:v>
      </x:c>
      <x:c r="J12" s="49" t="str">
        <x:v>https://note.com/loyal_aster5354/n/ned7252e83af9</x:v>
      </x:c>
      <x:c r="K12" s="49" t="str">
        <x:v>倍率为个人估算，分母/选拔范围未由官方表验证。</x:v>
      </x:c>
    </x:row>
    <x:row r="13" ht="52" customHeight="1">
      <x:c r="A13" s="49" t="str">
        <x:v>京都大学</x:v>
      </x:c>
      <x:c r="B13" s="49" t="str">
        <x:v>情報学研究科</x:v>
      </x:c>
      <x:c r="C13" s="49" t="str">
        <x:v>社会情報学コース</x:v>
      </x:c>
      <x:c r="D13" s="49" t="n">
        <x:v>2026</x:v>
      </x:c>
      <x:c r="E13" s="49" t="str">
        <x:v>报名人数与募集人数</x:v>
      </x:c>
      <x:c r="F13" s="49" t="str">
        <x:v>志愿93/募集43≈2.2倍</x:v>
      </x:c>
      <x:c r="G13" s="49" t="str">
        <x:v>民间</x:v>
      </x:c>
      <x:c r="H13" s="49" t="str">
        <x:v>中</x:v>
      </x:c>
      <x:c r="I13" s="49" t="str">
        <x:v>note：京都大学情報学研究科社会情報学コース 受験編</x:v>
      </x:c>
      <x:c r="J13" s="49" t="str">
        <x:v>https://note.com/takeru__m/n/n6e1666a183a5</x:v>
      </x:c>
      <x:c r="K13" s="49" t="str">
        <x:v>作者写作口径为2025年度考试、2026年度入学；项目当前清单未列社会信息学，仅作旁证。</x:v>
      </x:c>
    </x:row>
    <x:row r="14" ht="52" customHeight="1">
      <x:c r="A14" s="49" t="str">
        <x:v>名古屋大学</x:v>
      </x:c>
      <x:c r="B14" s="49" t="str">
        <x:v>情報学研究科</x:v>
      </x:c>
      <x:c r="C14" s="49" t="str">
        <x:v>知能システム</x:v>
      </x:c>
      <x:c r="D14" s="49" t="n">
        <x:v>2026</x:v>
      </x:c>
      <x:c r="E14" s="49" t="str">
        <x:v>外部考生倍率（引用官网后再计算）</x:v>
      </x:c>
      <x:c r="F14" s="49" t="str">
        <x:v>外部志愿122/外部合格23=5.3倍；总志愿147/总合格45=3.3倍</x:v>
      </x:c>
      <x:c r="G14" s="49" t="str">
        <x:v>民间</x:v>
      </x:c>
      <x:c r="H14" s="49" t="str">
        <x:v>中</x:v>
      </x:c>
      <x:c r="I14" s="49" t="str">
        <x:v>note：令和8年度 名古屋大学知能システム学専攻 合格体験記</x:v>
      </x:c>
      <x:c r="J14" s="49" t="str">
        <x:v>https://note.com/ni_note_/n/n5fd2e32892b9</x:v>
      </x:c>
      <x:c r="K14" s="49" t="str">
        <x:v>文章称数据来自研究科官网；本表仍把二次计算标作民间补充，官方行优先。</x:v>
      </x:c>
    </x:row>
  </x:sheetData>
  <x:mergeCells>
    <x:mergeCell ref="A1:K1"/>
    <x:mergeCell ref="A2:K2"/>
  </x:mergeCells>
  <x:pageMargins left="0.7" right="0.7" top="0.75" bottom="0.75" header="0.3" footer="0.3"/>
  <x:tableParts count="1">
    <x:tablePart xmlns:r="http://schemas.openxmlformats.org/officeDocument/2006/relationships" r:id="Re137b3af5ae542b2"/>
  </x:tableParts>
</x:worksheet>
</file>